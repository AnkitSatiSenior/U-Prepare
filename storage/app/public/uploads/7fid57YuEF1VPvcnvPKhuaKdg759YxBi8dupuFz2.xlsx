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ustomStorage/customStorage.xml" ContentType="application/vnd.wps-officedocument.customStorage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9200" windowHeight="6320"/>
  </bookViews>
  <sheets>
    <sheet name="APRIL-2025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/>
  <c r="M19" s="1"/>
  <c r="H19"/>
  <c r="H18"/>
  <c r="K18" s="1"/>
  <c r="M18" s="1"/>
  <c r="H17"/>
  <c r="K17" s="1"/>
  <c r="M17" s="1"/>
  <c r="M16"/>
  <c r="K16"/>
  <c r="H16"/>
  <c r="H15"/>
  <c r="K15" s="1"/>
  <c r="M15" s="1"/>
  <c r="H14"/>
  <c r="K14" s="1"/>
  <c r="M14" s="1"/>
  <c r="K13"/>
  <c r="M13" s="1"/>
  <c r="H13"/>
  <c r="H12"/>
  <c r="K12" s="1"/>
  <c r="M12" s="1"/>
  <c r="H11"/>
  <c r="K11" s="1"/>
  <c r="M11" s="1"/>
  <c r="H10"/>
  <c r="K10" s="1"/>
  <c r="M10" s="1"/>
  <c r="M9"/>
  <c r="K9"/>
  <c r="H9"/>
  <c r="K8"/>
  <c r="M8" s="1"/>
  <c r="H8"/>
  <c r="K7"/>
  <c r="M7" s="1"/>
  <c r="H7"/>
  <c r="K6"/>
  <c r="M6" s="1"/>
  <c r="H6"/>
  <c r="H5"/>
  <c r="K5" s="1"/>
  <c r="M5" s="1"/>
</calcChain>
</file>

<file path=xl/sharedStrings.xml><?xml version="1.0" encoding="utf-8"?>
<sst xmlns="http://schemas.openxmlformats.org/spreadsheetml/2006/main" count="47" uniqueCount="35">
  <si>
    <r>
      <rPr>
        <sz val="16"/>
        <color theme="1"/>
        <rFont val="Calibri"/>
        <charset val="134"/>
        <scheme val="minor"/>
      </rPr>
      <t xml:space="preserve">  </t>
    </r>
    <r>
      <rPr>
        <b/>
        <sz val="16"/>
        <color theme="1"/>
        <rFont val="Calibri"/>
        <charset val="134"/>
        <scheme val="minor"/>
      </rPr>
      <t>Client:-</t>
    </r>
    <r>
      <rPr>
        <sz val="16"/>
        <color theme="1"/>
        <rFont val="Calibri"/>
        <charset val="134"/>
        <scheme val="minor"/>
      </rPr>
      <t xml:space="preserve"> CD-2 (ADB) P.W.D. Nanital                                                                                      </t>
    </r>
    <r>
      <rPr>
        <b/>
        <sz val="16"/>
        <color theme="1"/>
        <rFont val="Calibri"/>
        <charset val="134"/>
        <scheme val="minor"/>
      </rPr>
      <t>Company:-</t>
    </r>
    <r>
      <rPr>
        <sz val="16"/>
        <color theme="1"/>
        <rFont val="Calibri"/>
        <charset val="134"/>
        <scheme val="minor"/>
      </rPr>
      <t xml:space="preserve"> M/S Laxmi Datt Binwal                </t>
    </r>
  </si>
  <si>
    <r>
      <rPr>
        <b/>
        <sz val="12"/>
        <color theme="1"/>
        <rFont val="Calibri"/>
        <charset val="134"/>
        <scheme val="minor"/>
      </rPr>
      <t>Name of Work:-</t>
    </r>
    <r>
      <rPr>
        <sz val="12"/>
        <color theme="1"/>
        <rFont val="Calibri"/>
        <charset val="134"/>
        <scheme val="minor"/>
      </rPr>
      <t>Construction of  120 M  span double lane R.C.C Prestress concrete Bridge over shernala at km 82 Ramnagar- Kaladhungi- Chorgaliya- Sitarganj- Bisti Motar Road</t>
    </r>
  </si>
  <si>
    <t>No. of Days</t>
  </si>
  <si>
    <t xml:space="preserve">S. NO. </t>
  </si>
  <si>
    <t>Name of Labour</t>
  </si>
  <si>
    <t>Designation</t>
  </si>
  <si>
    <t>Per Day Wage</t>
  </si>
  <si>
    <t>No. of Working Days</t>
  </si>
  <si>
    <t>OT in Hours</t>
  </si>
  <si>
    <t>OT in Rate</t>
  </si>
  <si>
    <t>Total OT
(In Rs.)</t>
  </si>
  <si>
    <t>Leaves</t>
  </si>
  <si>
    <t>Off Days</t>
  </si>
  <si>
    <t>Total wage</t>
  </si>
  <si>
    <t>Advance Payment</t>
  </si>
  <si>
    <t>Final Amount Paid</t>
  </si>
  <si>
    <t>Remark</t>
  </si>
  <si>
    <t>Sudheer</t>
  </si>
  <si>
    <t>Labour/Skilled</t>
  </si>
  <si>
    <t>Raju</t>
  </si>
  <si>
    <t>Babadeen</t>
  </si>
  <si>
    <t>Sonu</t>
  </si>
  <si>
    <t>Labour/Semi Skilled</t>
  </si>
  <si>
    <t>Rana</t>
  </si>
  <si>
    <t>Sonu 2</t>
  </si>
  <si>
    <t>Labour/Unskilled</t>
  </si>
  <si>
    <t>Jaswant Singh</t>
  </si>
  <si>
    <t>Karan</t>
  </si>
  <si>
    <t>Amit</t>
  </si>
  <si>
    <t>Ajeet</t>
  </si>
  <si>
    <t>Sonu 3</t>
  </si>
  <si>
    <t>Hari Krishan</t>
  </si>
  <si>
    <t>Sanjay</t>
  </si>
  <si>
    <t>Anuj</t>
  </si>
  <si>
    <t>Popin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</si>
</sst>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ont="1" applyFill="1" applyBorder="1" applyAlignment="1">
      <alignment horizontal="center"/>
    </xf>
    <xf numFmtId="17" fontId="0" fillId="2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>
      <selection activeCell="B3" sqref="B3"/>
    </sheetView>
  </sheetViews>
  <sheetFormatPr defaultColWidth="9" defaultRowHeight="14.5"/>
  <cols>
    <col min="2" max="2" width="14.08984375" customWidth="1"/>
    <col min="3" max="3" width="17.1796875" customWidth="1"/>
    <col min="4" max="4" width="13.1796875" customWidth="1"/>
    <col min="5" max="5" width="17.90625" customWidth="1"/>
    <col min="6" max="6" width="12.1796875" customWidth="1"/>
    <col min="7" max="7" width="10.08984375" customWidth="1"/>
    <col min="8" max="8" width="9.81640625" customWidth="1"/>
    <col min="11" max="11" width="9.90625" customWidth="1"/>
    <col min="12" max="12" width="16.453125" customWidth="1"/>
    <col min="13" max="13" width="17.36328125" customWidth="1"/>
  </cols>
  <sheetData>
    <row r="1" spans="1:14" ht="2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.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>
      <c r="A3" s="1"/>
      <c r="B3" s="2">
        <v>45748</v>
      </c>
      <c r="C3" s="1" t="s">
        <v>2</v>
      </c>
      <c r="D3" s="1">
        <v>30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9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4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</row>
    <row r="5" spans="1:14">
      <c r="A5" s="5">
        <v>1</v>
      </c>
      <c r="B5" s="6" t="s">
        <v>17</v>
      </c>
      <c r="C5" s="6" t="s">
        <v>18</v>
      </c>
      <c r="D5" s="6">
        <v>800</v>
      </c>
      <c r="E5" s="6">
        <v>18</v>
      </c>
      <c r="F5" s="6">
        <v>5</v>
      </c>
      <c r="G5" s="6">
        <v>150</v>
      </c>
      <c r="H5" s="6">
        <f t="shared" ref="H5:H19" si="0">(F5*G5)</f>
        <v>750</v>
      </c>
      <c r="I5" s="6">
        <v>10</v>
      </c>
      <c r="J5" s="6">
        <v>2</v>
      </c>
      <c r="K5" s="6">
        <f t="shared" ref="K5:K19" si="1">(J5+E5)*D5+H5</f>
        <v>16750</v>
      </c>
      <c r="L5" s="6">
        <v>2000</v>
      </c>
      <c r="M5" s="6">
        <f t="shared" ref="M5:M19" si="2">(K5-L5)</f>
        <v>14750</v>
      </c>
      <c r="N5" s="6"/>
    </row>
    <row r="6" spans="1:14">
      <c r="A6" s="5">
        <v>2</v>
      </c>
      <c r="B6" s="6" t="s">
        <v>19</v>
      </c>
      <c r="C6" s="6" t="s">
        <v>18</v>
      </c>
      <c r="D6" s="6">
        <v>800</v>
      </c>
      <c r="E6" s="6">
        <v>14</v>
      </c>
      <c r="F6" s="6">
        <v>2</v>
      </c>
      <c r="G6" s="6">
        <v>150</v>
      </c>
      <c r="H6" s="6">
        <f t="shared" si="0"/>
        <v>300</v>
      </c>
      <c r="I6" s="6">
        <v>14</v>
      </c>
      <c r="J6" s="6">
        <v>2</v>
      </c>
      <c r="K6" s="6">
        <f t="shared" si="1"/>
        <v>13100</v>
      </c>
      <c r="L6" s="6">
        <v>2000</v>
      </c>
      <c r="M6" s="6">
        <f t="shared" si="2"/>
        <v>11100</v>
      </c>
      <c r="N6" s="6"/>
    </row>
    <row r="7" spans="1:14">
      <c r="A7" s="5">
        <v>3</v>
      </c>
      <c r="B7" s="6" t="s">
        <v>20</v>
      </c>
      <c r="C7" s="6" t="s">
        <v>18</v>
      </c>
      <c r="D7" s="6">
        <v>800</v>
      </c>
      <c r="E7" s="6">
        <v>3</v>
      </c>
      <c r="F7" s="6">
        <v>0</v>
      </c>
      <c r="G7" s="6">
        <v>150</v>
      </c>
      <c r="H7" s="6">
        <f t="shared" si="0"/>
        <v>0</v>
      </c>
      <c r="I7" s="6">
        <v>0</v>
      </c>
      <c r="J7" s="6">
        <v>0</v>
      </c>
      <c r="K7" s="6">
        <f t="shared" si="1"/>
        <v>2400</v>
      </c>
      <c r="L7" s="6">
        <v>0</v>
      </c>
      <c r="M7" s="6">
        <f t="shared" si="2"/>
        <v>2400</v>
      </c>
      <c r="N7" s="6"/>
    </row>
    <row r="8" spans="1:14">
      <c r="A8" s="7">
        <v>4</v>
      </c>
      <c r="B8" s="6" t="s">
        <v>21</v>
      </c>
      <c r="C8" s="6" t="s">
        <v>22</v>
      </c>
      <c r="D8" s="6">
        <v>700</v>
      </c>
      <c r="E8" s="6">
        <v>5</v>
      </c>
      <c r="F8" s="6">
        <v>1</v>
      </c>
      <c r="G8" s="6">
        <v>140</v>
      </c>
      <c r="H8" s="6">
        <f t="shared" si="0"/>
        <v>140</v>
      </c>
      <c r="I8" s="6">
        <v>0</v>
      </c>
      <c r="J8" s="6">
        <v>1</v>
      </c>
      <c r="K8" s="6">
        <f t="shared" si="1"/>
        <v>4340</v>
      </c>
      <c r="L8" s="6">
        <v>0</v>
      </c>
      <c r="M8" s="6">
        <f t="shared" si="2"/>
        <v>4340</v>
      </c>
      <c r="N8" s="6"/>
    </row>
    <row r="9" spans="1:14">
      <c r="A9" s="7">
        <v>5</v>
      </c>
      <c r="B9" s="6" t="s">
        <v>23</v>
      </c>
      <c r="C9" s="6" t="s">
        <v>18</v>
      </c>
      <c r="D9" s="6">
        <v>800</v>
      </c>
      <c r="E9" s="6">
        <v>3</v>
      </c>
      <c r="F9" s="6">
        <v>0</v>
      </c>
      <c r="G9" s="6">
        <v>150</v>
      </c>
      <c r="H9" s="8">
        <f t="shared" si="0"/>
        <v>0</v>
      </c>
      <c r="I9" s="8">
        <v>0</v>
      </c>
      <c r="J9" s="8">
        <v>0</v>
      </c>
      <c r="K9" s="8">
        <f t="shared" si="1"/>
        <v>2400</v>
      </c>
      <c r="L9" s="8">
        <v>0</v>
      </c>
      <c r="M9" s="6">
        <f t="shared" si="2"/>
        <v>2400</v>
      </c>
      <c r="N9" s="6"/>
    </row>
    <row r="10" spans="1:14">
      <c r="A10" s="7">
        <v>6</v>
      </c>
      <c r="B10" s="6" t="s">
        <v>24</v>
      </c>
      <c r="C10" s="6" t="s">
        <v>25</v>
      </c>
      <c r="D10" s="6">
        <v>600</v>
      </c>
      <c r="E10" s="6">
        <v>5</v>
      </c>
      <c r="F10" s="6">
        <v>1</v>
      </c>
      <c r="G10" s="6">
        <v>130</v>
      </c>
      <c r="H10" s="8">
        <f t="shared" si="0"/>
        <v>130</v>
      </c>
      <c r="I10" s="8">
        <v>0</v>
      </c>
      <c r="J10" s="8">
        <v>1</v>
      </c>
      <c r="K10" s="8">
        <f t="shared" si="1"/>
        <v>3730</v>
      </c>
      <c r="L10" s="8">
        <v>0</v>
      </c>
      <c r="M10" s="6">
        <f t="shared" si="2"/>
        <v>3730</v>
      </c>
      <c r="N10" s="6"/>
    </row>
    <row r="11" spans="1:14">
      <c r="A11" s="7">
        <v>7</v>
      </c>
      <c r="B11" s="6" t="s">
        <v>26</v>
      </c>
      <c r="C11" s="6" t="s">
        <v>18</v>
      </c>
      <c r="D11" s="6">
        <v>800</v>
      </c>
      <c r="E11" s="6">
        <v>5</v>
      </c>
      <c r="F11" s="6">
        <v>1</v>
      </c>
      <c r="G11" s="6">
        <v>150</v>
      </c>
      <c r="H11" s="8">
        <f t="shared" si="0"/>
        <v>150</v>
      </c>
      <c r="I11" s="8">
        <v>0</v>
      </c>
      <c r="J11" s="8">
        <v>1</v>
      </c>
      <c r="K11" s="8">
        <f t="shared" si="1"/>
        <v>4950</v>
      </c>
      <c r="L11" s="8">
        <v>0</v>
      </c>
      <c r="M11" s="6">
        <f t="shared" si="2"/>
        <v>4950</v>
      </c>
      <c r="N11" s="6"/>
    </row>
    <row r="12" spans="1:14">
      <c r="A12" s="7">
        <v>8</v>
      </c>
      <c r="B12" s="6" t="s">
        <v>27</v>
      </c>
      <c r="C12" s="6" t="s">
        <v>25</v>
      </c>
      <c r="D12" s="6">
        <v>600</v>
      </c>
      <c r="E12" s="6">
        <v>22</v>
      </c>
      <c r="F12" s="6">
        <v>5</v>
      </c>
      <c r="G12" s="6">
        <v>130</v>
      </c>
      <c r="H12" s="8">
        <f t="shared" si="0"/>
        <v>650</v>
      </c>
      <c r="I12" s="8">
        <v>0</v>
      </c>
      <c r="J12" s="8">
        <v>3</v>
      </c>
      <c r="K12" s="8">
        <f t="shared" si="1"/>
        <v>15650</v>
      </c>
      <c r="L12" s="8">
        <v>3000</v>
      </c>
      <c r="M12" s="6">
        <f t="shared" si="2"/>
        <v>12650</v>
      </c>
      <c r="N12" s="6"/>
    </row>
    <row r="13" spans="1:14">
      <c r="A13" s="7">
        <v>9</v>
      </c>
      <c r="B13" s="6" t="s">
        <v>28</v>
      </c>
      <c r="C13" s="6" t="s">
        <v>22</v>
      </c>
      <c r="D13" s="6">
        <v>700</v>
      </c>
      <c r="E13" s="6">
        <v>18</v>
      </c>
      <c r="F13" s="6">
        <v>1</v>
      </c>
      <c r="G13" s="6">
        <v>140</v>
      </c>
      <c r="H13" s="8">
        <f t="shared" si="0"/>
        <v>140</v>
      </c>
      <c r="I13" s="8">
        <v>0</v>
      </c>
      <c r="J13" s="8">
        <v>2</v>
      </c>
      <c r="K13" s="8">
        <f t="shared" si="1"/>
        <v>14140</v>
      </c>
      <c r="L13" s="8">
        <v>2000</v>
      </c>
      <c r="M13" s="6">
        <f t="shared" si="2"/>
        <v>12140</v>
      </c>
      <c r="N13" s="6"/>
    </row>
    <row r="14" spans="1:14">
      <c r="A14" s="7">
        <v>10</v>
      </c>
      <c r="B14" s="6" t="s">
        <v>29</v>
      </c>
      <c r="C14" s="6" t="s">
        <v>22</v>
      </c>
      <c r="D14" s="6">
        <v>700</v>
      </c>
      <c r="E14" s="6">
        <v>20</v>
      </c>
      <c r="F14" s="6">
        <v>5</v>
      </c>
      <c r="G14" s="6">
        <v>140</v>
      </c>
      <c r="H14" s="8">
        <f t="shared" si="0"/>
        <v>700</v>
      </c>
      <c r="I14" s="8">
        <v>0</v>
      </c>
      <c r="J14" s="8">
        <v>3</v>
      </c>
      <c r="K14" s="8">
        <f t="shared" si="1"/>
        <v>16800</v>
      </c>
      <c r="L14" s="8">
        <v>3000</v>
      </c>
      <c r="M14" s="6">
        <f t="shared" si="2"/>
        <v>13800</v>
      </c>
      <c r="N14" s="6"/>
    </row>
    <row r="15" spans="1:14">
      <c r="A15" s="7">
        <v>11</v>
      </c>
      <c r="B15" s="6" t="s">
        <v>30</v>
      </c>
      <c r="C15" s="6" t="s">
        <v>25</v>
      </c>
      <c r="D15" s="6">
        <v>600</v>
      </c>
      <c r="E15" s="6">
        <v>4</v>
      </c>
      <c r="F15" s="6">
        <v>1</v>
      </c>
      <c r="G15" s="6">
        <v>130</v>
      </c>
      <c r="H15" s="8">
        <f t="shared" si="0"/>
        <v>130</v>
      </c>
      <c r="I15" s="8">
        <v>0</v>
      </c>
      <c r="J15" s="8">
        <v>0</v>
      </c>
      <c r="K15" s="8">
        <f t="shared" si="1"/>
        <v>2530</v>
      </c>
      <c r="L15" s="8">
        <v>0</v>
      </c>
      <c r="M15" s="6">
        <f t="shared" si="2"/>
        <v>2530</v>
      </c>
      <c r="N15" s="6"/>
    </row>
    <row r="16" spans="1:14">
      <c r="A16" s="7">
        <v>12</v>
      </c>
      <c r="B16" s="6" t="s">
        <v>31</v>
      </c>
      <c r="C16" s="6" t="s">
        <v>22</v>
      </c>
      <c r="D16" s="6">
        <v>700</v>
      </c>
      <c r="E16" s="6">
        <v>12</v>
      </c>
      <c r="F16" s="6">
        <v>2</v>
      </c>
      <c r="G16" s="6">
        <v>140</v>
      </c>
      <c r="H16" s="8">
        <f t="shared" si="0"/>
        <v>280</v>
      </c>
      <c r="I16" s="8">
        <v>0</v>
      </c>
      <c r="J16" s="8">
        <v>1</v>
      </c>
      <c r="K16" s="8">
        <f t="shared" si="1"/>
        <v>9380</v>
      </c>
      <c r="L16" s="8">
        <v>1000</v>
      </c>
      <c r="M16" s="6">
        <f t="shared" si="2"/>
        <v>8380</v>
      </c>
      <c r="N16" s="6"/>
    </row>
    <row r="17" spans="1:14">
      <c r="A17" s="7">
        <v>13</v>
      </c>
      <c r="B17" s="6" t="s">
        <v>32</v>
      </c>
      <c r="C17" s="6" t="s">
        <v>18</v>
      </c>
      <c r="D17" s="6">
        <v>800</v>
      </c>
      <c r="E17" s="6">
        <v>12</v>
      </c>
      <c r="F17" s="6">
        <v>2</v>
      </c>
      <c r="G17" s="6">
        <v>150</v>
      </c>
      <c r="H17" s="8">
        <f t="shared" si="0"/>
        <v>300</v>
      </c>
      <c r="I17" s="8">
        <v>0</v>
      </c>
      <c r="J17" s="8">
        <v>2</v>
      </c>
      <c r="K17" s="8">
        <f t="shared" si="1"/>
        <v>11500</v>
      </c>
      <c r="L17" s="8">
        <v>1000</v>
      </c>
      <c r="M17" s="6">
        <f t="shared" si="2"/>
        <v>10500</v>
      </c>
      <c r="N17" s="6"/>
    </row>
    <row r="18" spans="1:14">
      <c r="A18" s="7">
        <v>14</v>
      </c>
      <c r="B18" s="6" t="s">
        <v>33</v>
      </c>
      <c r="C18" s="6" t="s">
        <v>25</v>
      </c>
      <c r="D18" s="6">
        <v>600</v>
      </c>
      <c r="E18" s="6">
        <v>4</v>
      </c>
      <c r="F18" s="6">
        <v>0</v>
      </c>
      <c r="G18" s="6">
        <v>130</v>
      </c>
      <c r="H18" s="8">
        <f t="shared" si="0"/>
        <v>0</v>
      </c>
      <c r="I18" s="8">
        <v>1</v>
      </c>
      <c r="J18" s="8">
        <v>0</v>
      </c>
      <c r="K18" s="8">
        <f t="shared" si="1"/>
        <v>2400</v>
      </c>
      <c r="L18" s="8">
        <v>0</v>
      </c>
      <c r="M18" s="6">
        <f t="shared" si="2"/>
        <v>2400</v>
      </c>
      <c r="N18" s="6"/>
    </row>
    <row r="19" spans="1:14">
      <c r="A19" s="7">
        <v>15</v>
      </c>
      <c r="B19" s="6" t="s">
        <v>34</v>
      </c>
      <c r="C19" s="6" t="s">
        <v>25</v>
      </c>
      <c r="D19" s="6">
        <v>600</v>
      </c>
      <c r="E19" s="6">
        <v>4</v>
      </c>
      <c r="F19" s="6">
        <v>0</v>
      </c>
      <c r="G19" s="6">
        <v>130</v>
      </c>
      <c r="H19" s="8">
        <f t="shared" si="0"/>
        <v>0</v>
      </c>
      <c r="I19" s="8">
        <v>1</v>
      </c>
      <c r="J19" s="8">
        <v>0</v>
      </c>
      <c r="K19" s="8">
        <f t="shared" si="1"/>
        <v>2400</v>
      </c>
      <c r="L19" s="8">
        <v>0</v>
      </c>
      <c r="M19" s="6">
        <f t="shared" si="2"/>
        <v>2400</v>
      </c>
      <c r="N19" s="6"/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APRIL-2025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2025-08-29T09:16:00Z</dcterms:created>
  <dcterms:modified xsi:type="dcterms:W3CDTF">2025-09-05T08:08:17Z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C4C2D469FAE1447D8985326E62D33C6E_12</vt:lpwstr>
  </property>
  <property fmtid="{D5CDD505-2E9C-101B-9397-08002B2CF9AE}" pid="3" name="KSOProductBuildVer">
    <vt:lpwstr>1033-12.2.0.21546</vt:lpwstr>
  </property>
</Properties>
</file>