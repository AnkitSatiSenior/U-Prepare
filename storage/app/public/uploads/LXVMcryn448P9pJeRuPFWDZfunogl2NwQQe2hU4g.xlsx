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7"/>
  <workbookPr/>
  <bookViews>
    <workbookView xWindow="0" yWindow="0" windowWidth="19420" windowHeight="10160"/>
  </bookViews>
  <sheets>
    <sheet name="Sheet1" sheetId="1" r:id="rId1"/>
  </sheets>
  <calcPr calcId="125725"/>
  <extLst xmlns:x15="http://schemas.microsoft.com/office/spreadsheetml/2010/11/main">
    <ext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33" i="1"/>
  <c r="K33" s="1"/>
  <c r="M33" s="1"/>
  <c r="H32"/>
  <c r="K32" s="1"/>
  <c r="M32" s="1"/>
  <c r="K31"/>
  <c r="M31" s="1"/>
  <c r="H31"/>
  <c r="K30"/>
  <c r="M30" s="1"/>
  <c r="H30"/>
  <c r="H29"/>
  <c r="K29" s="1"/>
  <c r="M29" s="1"/>
  <c r="H28"/>
  <c r="K28" s="1"/>
  <c r="M28" s="1"/>
  <c r="M27"/>
  <c r="K27"/>
  <c r="H27"/>
  <c r="K26"/>
  <c r="M26" s="1"/>
  <c r="H26"/>
  <c r="H25"/>
  <c r="K25" s="1"/>
  <c r="M25" s="1"/>
  <c r="H24"/>
  <c r="K24" s="1"/>
  <c r="M24" s="1"/>
  <c r="H23"/>
  <c r="K23" s="1"/>
  <c r="M23" s="1"/>
  <c r="H22"/>
  <c r="K22" s="1"/>
  <c r="M22" s="1"/>
  <c r="H21"/>
  <c r="K21" s="1"/>
  <c r="M21" s="1"/>
  <c r="H20"/>
  <c r="K20" s="1"/>
  <c r="M20" s="1"/>
  <c r="M19"/>
  <c r="K19"/>
  <c r="H19"/>
  <c r="H18"/>
  <c r="K18" s="1"/>
  <c r="M18" s="1"/>
  <c r="H17"/>
  <c r="K17" s="1"/>
  <c r="M17" s="1"/>
  <c r="H16"/>
  <c r="K16" s="1"/>
  <c r="M16" s="1"/>
  <c r="H15"/>
  <c r="K15" s="1"/>
  <c r="M15" s="1"/>
  <c r="K14"/>
  <c r="M14" s="1"/>
  <c r="H14"/>
  <c r="H13"/>
  <c r="K13" s="1"/>
  <c r="M13" s="1"/>
  <c r="H12"/>
  <c r="K12" s="1"/>
  <c r="M12" s="1"/>
  <c r="M11"/>
  <c r="K11"/>
  <c r="H11"/>
  <c r="H10"/>
  <c r="K10" s="1"/>
  <c r="M10" s="1"/>
  <c r="H9"/>
  <c r="K9" s="1"/>
  <c r="M9" s="1"/>
  <c r="M8"/>
  <c r="K8"/>
  <c r="H8"/>
  <c r="M7"/>
  <c r="K7"/>
  <c r="H7"/>
</calcChain>
</file>

<file path=xl/sharedStrings.xml><?xml version="1.0" encoding="utf-8"?>
<sst xmlns="http://schemas.openxmlformats.org/spreadsheetml/2006/main" count="72" uniqueCount="47">
  <si>
    <t xml:space="preserve">Wages Details </t>
  </si>
  <si>
    <r>
      <rPr>
        <sz val="16"/>
        <color theme="1"/>
        <rFont val="Calibri"/>
        <charset val="134"/>
        <scheme val="minor"/>
      </rPr>
      <t xml:space="preserve">  </t>
    </r>
    <r>
      <rPr>
        <b/>
        <sz val="16"/>
        <color theme="1"/>
        <rFont val="Calibri"/>
        <charset val="134"/>
        <scheme val="minor"/>
      </rPr>
      <t>Client:-</t>
    </r>
    <r>
      <rPr>
        <sz val="16"/>
        <color theme="1"/>
        <rFont val="Calibri"/>
        <charset val="134"/>
        <scheme val="minor"/>
      </rPr>
      <t xml:space="preserve"> CD-2 (ADB) P.W.D. Nanital                                                                                      </t>
    </r>
    <r>
      <rPr>
        <b/>
        <sz val="16"/>
        <color theme="1"/>
        <rFont val="Calibri"/>
        <charset val="134"/>
        <scheme val="minor"/>
      </rPr>
      <t>Company:-</t>
    </r>
    <r>
      <rPr>
        <sz val="16"/>
        <color theme="1"/>
        <rFont val="Calibri"/>
        <charset val="134"/>
        <scheme val="minor"/>
      </rPr>
      <t xml:space="preserve"> M/S Laxmi Datt Binwal                </t>
    </r>
  </si>
  <si>
    <r>
      <rPr>
        <b/>
        <sz val="12"/>
        <color theme="1"/>
        <rFont val="Calibri"/>
        <charset val="134"/>
        <scheme val="minor"/>
      </rPr>
      <t>Name of Work:-</t>
    </r>
    <r>
      <rPr>
        <sz val="12"/>
        <color theme="1"/>
        <rFont val="Calibri"/>
        <charset val="134"/>
        <scheme val="minor"/>
      </rPr>
      <t>Construction of  120 M  span double lane R.C.C Prestress concrete Bridge over shernala at km 82 Ramnagar- Kaladhungi- Chorgaliya- Sitarganj- Bisti Motar Road</t>
    </r>
  </si>
  <si>
    <t>No. of Days</t>
  </si>
  <si>
    <t xml:space="preserve">S. NO. </t>
  </si>
  <si>
    <t>Name of Labour</t>
  </si>
  <si>
    <t>Designation</t>
  </si>
  <si>
    <t>Per Day Wage</t>
  </si>
  <si>
    <t>No. of Working Days</t>
  </si>
  <si>
    <t>OT in Hours</t>
  </si>
  <si>
    <t>OT in Rate</t>
  </si>
  <si>
    <t>Total OT
(In Rs.)</t>
  </si>
  <si>
    <t>Leaves</t>
  </si>
  <si>
    <t>Off Days</t>
  </si>
  <si>
    <t>Total wage</t>
  </si>
  <si>
    <t>Advance Payment</t>
  </si>
  <si>
    <t>Final Amount Paid</t>
  </si>
  <si>
    <t>Remark</t>
  </si>
  <si>
    <t>Ajay Rajbhar</t>
  </si>
  <si>
    <t>Labour/ skilled</t>
  </si>
  <si>
    <t>vicky lal</t>
  </si>
  <si>
    <t>Labour/ semi skilled</t>
  </si>
  <si>
    <t>Ramesh</t>
  </si>
  <si>
    <t>Aakash</t>
  </si>
  <si>
    <t>Labour/ unskilled</t>
  </si>
  <si>
    <t>Devender</t>
  </si>
  <si>
    <t>Baldev singh</t>
  </si>
  <si>
    <t>Kishan</t>
  </si>
  <si>
    <t>Vijay</t>
  </si>
  <si>
    <t>Priyanshu</t>
  </si>
  <si>
    <t>Ajay Lambu</t>
  </si>
  <si>
    <t>Mohit</t>
  </si>
  <si>
    <t>Pappu</t>
  </si>
  <si>
    <t xml:space="preserve"> Suraj</t>
  </si>
  <si>
    <t>Handsome</t>
  </si>
  <si>
    <t>chandan</t>
  </si>
  <si>
    <t>Nimbulal</t>
  </si>
  <si>
    <t>Manoj</t>
  </si>
  <si>
    <t>Vijay Kallu</t>
  </si>
  <si>
    <t>Arun</t>
  </si>
  <si>
    <t>Kamlesh</t>
  </si>
  <si>
    <t>Aveesh</t>
  </si>
  <si>
    <t>Ankit</t>
  </si>
  <si>
    <t>Rajat</t>
  </si>
  <si>
    <t>Aman</t>
  </si>
  <si>
    <t>Vibhaur</t>
  </si>
  <si>
    <t>Sandeep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</si>
</sst>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b/>
      <sz val="20"/>
      <color theme="1"/>
      <name val="Calibri"/>
      <charset val="134"/>
      <scheme val="minor"/>
    </font>
    <font>
      <sz val="20"/>
      <color theme="1"/>
      <name val="Calibri"/>
      <charset val="134"/>
      <scheme val="minor"/>
    </font>
    <font>
      <sz val="16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3" borderId="1" xfId="0" applyFill="1" applyBorder="1" applyAlignment="1">
      <alignment horizontal="center"/>
    </xf>
    <xf numFmtId="17" fontId="0" fillId="3" borderId="1" xfId="0" applyNumberForma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 wrapText="1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" xfId="0" applyBorder="1"/>
    <xf numFmtId="0" fontId="0" fillId="0" borderId="4" xfId="0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2:N35"/>
  <sheetViews>
    <sheetView tabSelected="1" topLeftCell="A5" workbookViewId="0">
      <selection activeCell="E26" sqref="E26"/>
    </sheetView>
  </sheetViews>
  <sheetFormatPr defaultColWidth="9" defaultRowHeight="14.5"/>
  <cols>
    <col min="1" max="1" width="6.81640625" customWidth="1"/>
    <col min="2" max="2" width="15.1796875" customWidth="1"/>
    <col min="3" max="3" width="17.6328125" customWidth="1"/>
    <col min="4" max="4" width="13.26953125" customWidth="1"/>
    <col min="5" max="5" width="19.1796875" customWidth="1"/>
    <col min="6" max="6" width="11.1796875" customWidth="1"/>
    <col min="7" max="7" width="10" customWidth="1"/>
    <col min="8" max="8" width="8.26953125" customWidth="1"/>
    <col min="9" max="9" width="7" customWidth="1"/>
    <col min="10" max="10" width="8.453125" customWidth="1"/>
    <col min="11" max="11" width="10.54296875" customWidth="1"/>
    <col min="12" max="12" width="17" customWidth="1"/>
    <col min="13" max="13" width="17.453125" customWidth="1"/>
    <col min="14" max="14" width="12" customWidth="1"/>
  </cols>
  <sheetData>
    <row r="2" spans="1:14" ht="26">
      <c r="A2" s="13" t="s">
        <v>0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</row>
    <row r="3" spans="1:14" ht="21">
      <c r="A3" s="15" t="s">
        <v>1</v>
      </c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</row>
    <row r="4" spans="1:14" ht="15.5">
      <c r="A4" s="16" t="s">
        <v>2</v>
      </c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</row>
    <row r="5" spans="1:14">
      <c r="A5" s="1"/>
      <c r="B5" s="2">
        <v>45809</v>
      </c>
      <c r="C5" s="1" t="s">
        <v>3</v>
      </c>
      <c r="D5" s="1">
        <v>30</v>
      </c>
      <c r="E5" s="1"/>
      <c r="F5" s="1"/>
      <c r="G5" s="3"/>
      <c r="H5" s="1"/>
      <c r="I5" s="1"/>
      <c r="J5" s="1"/>
      <c r="K5" s="1"/>
      <c r="L5" s="1"/>
      <c r="M5" s="1"/>
      <c r="N5" s="1"/>
    </row>
    <row r="6" spans="1:14" ht="29">
      <c r="A6" s="4" t="s">
        <v>4</v>
      </c>
      <c r="B6" s="4" t="s">
        <v>5</v>
      </c>
      <c r="C6" s="4" t="s">
        <v>6</v>
      </c>
      <c r="D6" s="4" t="s">
        <v>7</v>
      </c>
      <c r="E6" s="4" t="s">
        <v>8</v>
      </c>
      <c r="F6" s="5" t="s">
        <v>9</v>
      </c>
      <c r="G6" s="4" t="s">
        <v>10</v>
      </c>
      <c r="H6" s="6" t="s">
        <v>11</v>
      </c>
      <c r="I6" s="4" t="s">
        <v>12</v>
      </c>
      <c r="J6" s="4" t="s">
        <v>13</v>
      </c>
      <c r="K6" s="4" t="s">
        <v>14</v>
      </c>
      <c r="L6" s="4" t="s">
        <v>15</v>
      </c>
      <c r="M6" s="4" t="s">
        <v>16</v>
      </c>
      <c r="N6" s="4" t="s">
        <v>17</v>
      </c>
    </row>
    <row r="7" spans="1:14">
      <c r="A7" s="7">
        <v>1</v>
      </c>
      <c r="B7" s="7" t="s">
        <v>18</v>
      </c>
      <c r="C7" s="7" t="s">
        <v>19</v>
      </c>
      <c r="D7" s="7">
        <v>800</v>
      </c>
      <c r="E7" s="7">
        <v>20</v>
      </c>
      <c r="F7" s="8">
        <v>4</v>
      </c>
      <c r="G7" s="9">
        <v>150</v>
      </c>
      <c r="H7" s="10">
        <f>F7*G7</f>
        <v>600</v>
      </c>
      <c r="I7" s="7">
        <v>7</v>
      </c>
      <c r="J7" s="7">
        <v>3</v>
      </c>
      <c r="K7" s="11">
        <f>(J7+E7)*D7+H7</f>
        <v>19000</v>
      </c>
      <c r="L7" s="11">
        <v>3000</v>
      </c>
      <c r="M7" s="11">
        <f>K7-L7</f>
        <v>16000</v>
      </c>
      <c r="N7" s="7"/>
    </row>
    <row r="8" spans="1:14">
      <c r="A8" s="7">
        <v>2</v>
      </c>
      <c r="B8" s="7" t="s">
        <v>20</v>
      </c>
      <c r="C8" s="7" t="s">
        <v>21</v>
      </c>
      <c r="D8" s="7">
        <v>700</v>
      </c>
      <c r="E8" s="7">
        <v>18</v>
      </c>
      <c r="F8" s="8">
        <v>7</v>
      </c>
      <c r="G8" s="9">
        <v>140</v>
      </c>
      <c r="H8" s="10">
        <f t="shared" ref="H8:H33" si="0">F8*G8</f>
        <v>980</v>
      </c>
      <c r="I8" s="7">
        <v>10</v>
      </c>
      <c r="J8" s="7">
        <v>2</v>
      </c>
      <c r="K8" s="11">
        <f t="shared" ref="K8:K33" si="1">(J8+E8)*(D8)+H8</f>
        <v>14980</v>
      </c>
      <c r="L8" s="11">
        <v>2000</v>
      </c>
      <c r="M8" s="11">
        <f t="shared" ref="M8:M33" si="2">K8-L8</f>
        <v>12980</v>
      </c>
      <c r="N8" s="7"/>
    </row>
    <row r="9" spans="1:14">
      <c r="A9" s="7">
        <v>3</v>
      </c>
      <c r="B9" s="7" t="s">
        <v>22</v>
      </c>
      <c r="C9" s="7" t="s">
        <v>19</v>
      </c>
      <c r="D9" s="7">
        <v>800</v>
      </c>
      <c r="E9" s="7">
        <v>23</v>
      </c>
      <c r="F9" s="8">
        <v>5</v>
      </c>
      <c r="G9" s="9">
        <v>150</v>
      </c>
      <c r="H9" s="10">
        <f t="shared" si="0"/>
        <v>750</v>
      </c>
      <c r="I9" s="7">
        <v>0</v>
      </c>
      <c r="J9" s="7">
        <v>4</v>
      </c>
      <c r="K9" s="11">
        <f t="shared" si="1"/>
        <v>22350</v>
      </c>
      <c r="L9" s="11">
        <v>3000</v>
      </c>
      <c r="M9" s="11">
        <f t="shared" si="2"/>
        <v>19350</v>
      </c>
      <c r="N9" s="7"/>
    </row>
    <row r="10" spans="1:14">
      <c r="A10" s="7">
        <v>4</v>
      </c>
      <c r="B10" s="7" t="s">
        <v>23</v>
      </c>
      <c r="C10" s="7" t="s">
        <v>24</v>
      </c>
      <c r="D10" s="7">
        <v>600</v>
      </c>
      <c r="E10" s="7">
        <v>5</v>
      </c>
      <c r="F10" s="8">
        <v>0</v>
      </c>
      <c r="G10" s="9">
        <v>130</v>
      </c>
      <c r="H10" s="10">
        <f t="shared" si="0"/>
        <v>0</v>
      </c>
      <c r="I10" s="7">
        <v>0</v>
      </c>
      <c r="J10" s="7">
        <v>0</v>
      </c>
      <c r="K10" s="11">
        <f t="shared" si="1"/>
        <v>3000</v>
      </c>
      <c r="L10" s="11">
        <v>0</v>
      </c>
      <c r="M10" s="11">
        <f t="shared" si="2"/>
        <v>3000</v>
      </c>
      <c r="N10" s="7"/>
    </row>
    <row r="11" spans="1:14">
      <c r="A11" s="7">
        <v>5</v>
      </c>
      <c r="B11" s="7" t="s">
        <v>25</v>
      </c>
      <c r="C11" s="7" t="s">
        <v>21</v>
      </c>
      <c r="D11" s="7">
        <v>700</v>
      </c>
      <c r="E11" s="7">
        <v>20</v>
      </c>
      <c r="F11" s="8">
        <v>5</v>
      </c>
      <c r="G11" s="9">
        <v>140</v>
      </c>
      <c r="H11" s="10">
        <f t="shared" si="0"/>
        <v>700</v>
      </c>
      <c r="I11" s="7">
        <v>0</v>
      </c>
      <c r="J11" s="7">
        <v>3</v>
      </c>
      <c r="K11" s="11">
        <f t="shared" si="1"/>
        <v>16800</v>
      </c>
      <c r="L11" s="11">
        <v>3000</v>
      </c>
      <c r="M11" s="11">
        <f t="shared" si="2"/>
        <v>13800</v>
      </c>
      <c r="N11" s="7"/>
    </row>
    <row r="12" spans="1:14">
      <c r="A12" s="7">
        <v>6</v>
      </c>
      <c r="B12" s="7" t="s">
        <v>26</v>
      </c>
      <c r="C12" s="7" t="s">
        <v>19</v>
      </c>
      <c r="D12" s="7">
        <v>800</v>
      </c>
      <c r="E12" s="7">
        <v>7</v>
      </c>
      <c r="F12" s="8">
        <v>3</v>
      </c>
      <c r="G12" s="9">
        <v>150</v>
      </c>
      <c r="H12" s="10">
        <f t="shared" si="0"/>
        <v>450</v>
      </c>
      <c r="I12" s="7">
        <v>0</v>
      </c>
      <c r="J12" s="7">
        <v>0</v>
      </c>
      <c r="K12" s="11">
        <f t="shared" si="1"/>
        <v>6050</v>
      </c>
      <c r="L12" s="11">
        <v>0</v>
      </c>
      <c r="M12" s="11">
        <f t="shared" si="2"/>
        <v>6050</v>
      </c>
      <c r="N12" s="7"/>
    </row>
    <row r="13" spans="1:14">
      <c r="A13" s="7">
        <v>7</v>
      </c>
      <c r="B13" s="7" t="s">
        <v>27</v>
      </c>
      <c r="C13" s="7" t="s">
        <v>21</v>
      </c>
      <c r="D13" s="7">
        <v>700</v>
      </c>
      <c r="E13" s="7">
        <v>22</v>
      </c>
      <c r="F13" s="8">
        <v>5</v>
      </c>
      <c r="G13" s="9">
        <v>140</v>
      </c>
      <c r="H13" s="10">
        <f t="shared" si="0"/>
        <v>700</v>
      </c>
      <c r="I13" s="7">
        <v>0</v>
      </c>
      <c r="J13" s="7">
        <v>3</v>
      </c>
      <c r="K13" s="11">
        <f t="shared" si="1"/>
        <v>18200</v>
      </c>
      <c r="L13" s="11">
        <v>3000</v>
      </c>
      <c r="M13" s="11">
        <f t="shared" si="2"/>
        <v>15200</v>
      </c>
      <c r="N13" s="9"/>
    </row>
    <row r="14" spans="1:14">
      <c r="A14" s="7">
        <v>8</v>
      </c>
      <c r="B14" s="7" t="s">
        <v>28</v>
      </c>
      <c r="C14" s="7" t="s">
        <v>24</v>
      </c>
      <c r="D14" s="7">
        <v>600</v>
      </c>
      <c r="E14" s="7">
        <v>23</v>
      </c>
      <c r="F14" s="8">
        <v>4</v>
      </c>
      <c r="G14" s="9">
        <v>130</v>
      </c>
      <c r="H14" s="10">
        <f t="shared" si="0"/>
        <v>520</v>
      </c>
      <c r="I14" s="7">
        <v>0</v>
      </c>
      <c r="J14" s="7">
        <v>3</v>
      </c>
      <c r="K14" s="11">
        <f t="shared" si="1"/>
        <v>16120</v>
      </c>
      <c r="L14" s="11">
        <v>3000</v>
      </c>
      <c r="M14" s="11">
        <f t="shared" si="2"/>
        <v>13120</v>
      </c>
      <c r="N14" s="9"/>
    </row>
    <row r="15" spans="1:14">
      <c r="A15" s="7">
        <v>9</v>
      </c>
      <c r="B15" s="7" t="s">
        <v>29</v>
      </c>
      <c r="C15" s="7" t="s">
        <v>24</v>
      </c>
      <c r="D15" s="7">
        <v>600</v>
      </c>
      <c r="E15" s="7">
        <v>1</v>
      </c>
      <c r="F15" s="8">
        <v>0</v>
      </c>
      <c r="G15" s="9">
        <v>130</v>
      </c>
      <c r="H15" s="10">
        <f t="shared" si="0"/>
        <v>0</v>
      </c>
      <c r="I15" s="7">
        <v>0</v>
      </c>
      <c r="J15" s="7">
        <v>0</v>
      </c>
      <c r="K15" s="11">
        <f t="shared" si="1"/>
        <v>600</v>
      </c>
      <c r="L15" s="11">
        <v>0</v>
      </c>
      <c r="M15" s="11">
        <f t="shared" si="2"/>
        <v>600</v>
      </c>
      <c r="N15" s="9"/>
    </row>
    <row r="16" spans="1:14">
      <c r="A16" s="7">
        <v>10</v>
      </c>
      <c r="B16" s="7" t="s">
        <v>30</v>
      </c>
      <c r="C16" s="7" t="s">
        <v>19</v>
      </c>
      <c r="D16" s="7">
        <v>800</v>
      </c>
      <c r="E16" s="7">
        <v>19</v>
      </c>
      <c r="F16" s="8">
        <v>8</v>
      </c>
      <c r="G16" s="9">
        <v>150</v>
      </c>
      <c r="H16" s="10">
        <f t="shared" si="0"/>
        <v>1200</v>
      </c>
      <c r="I16" s="7">
        <v>0</v>
      </c>
      <c r="J16" s="7">
        <v>3</v>
      </c>
      <c r="K16" s="11">
        <f t="shared" si="1"/>
        <v>18800</v>
      </c>
      <c r="L16" s="11">
        <v>2000</v>
      </c>
      <c r="M16" s="11">
        <f t="shared" si="2"/>
        <v>16800</v>
      </c>
      <c r="N16" s="9"/>
    </row>
    <row r="17" spans="1:14">
      <c r="A17" s="7">
        <v>11</v>
      </c>
      <c r="B17" s="7" t="s">
        <v>31</v>
      </c>
      <c r="C17" s="7" t="s">
        <v>24</v>
      </c>
      <c r="D17" s="7">
        <v>600</v>
      </c>
      <c r="E17" s="7">
        <v>24</v>
      </c>
      <c r="F17" s="8">
        <v>7</v>
      </c>
      <c r="G17" s="9">
        <v>130</v>
      </c>
      <c r="H17" s="10">
        <f t="shared" si="0"/>
        <v>910</v>
      </c>
      <c r="I17" s="7">
        <v>0</v>
      </c>
      <c r="J17" s="7">
        <v>4</v>
      </c>
      <c r="K17" s="11">
        <f t="shared" si="1"/>
        <v>17710</v>
      </c>
      <c r="L17" s="11">
        <v>3000</v>
      </c>
      <c r="M17" s="11">
        <f t="shared" si="2"/>
        <v>14710</v>
      </c>
      <c r="N17" s="9"/>
    </row>
    <row r="18" spans="1:14">
      <c r="A18" s="7">
        <v>12</v>
      </c>
      <c r="B18" s="7" t="s">
        <v>32</v>
      </c>
      <c r="C18" s="7" t="s">
        <v>24</v>
      </c>
      <c r="D18" s="7">
        <v>600</v>
      </c>
      <c r="E18" s="7">
        <v>7</v>
      </c>
      <c r="F18" s="8">
        <v>2</v>
      </c>
      <c r="G18" s="9">
        <v>130</v>
      </c>
      <c r="H18" s="10">
        <f t="shared" si="0"/>
        <v>260</v>
      </c>
      <c r="I18" s="7">
        <v>0</v>
      </c>
      <c r="J18" s="7">
        <v>0</v>
      </c>
      <c r="K18" s="11">
        <f t="shared" si="1"/>
        <v>4460</v>
      </c>
      <c r="L18" s="11">
        <v>0</v>
      </c>
      <c r="M18" s="11">
        <f t="shared" si="2"/>
        <v>4460</v>
      </c>
      <c r="N18" s="9"/>
    </row>
    <row r="19" spans="1:14">
      <c r="A19" s="7">
        <v>13</v>
      </c>
      <c r="B19" s="7" t="s">
        <v>33</v>
      </c>
      <c r="C19" s="7" t="s">
        <v>24</v>
      </c>
      <c r="D19" s="7">
        <v>600</v>
      </c>
      <c r="E19" s="7">
        <v>1</v>
      </c>
      <c r="F19" s="8">
        <v>1</v>
      </c>
      <c r="G19" s="9">
        <v>130</v>
      </c>
      <c r="H19" s="10">
        <f t="shared" si="0"/>
        <v>130</v>
      </c>
      <c r="I19" s="7">
        <v>0</v>
      </c>
      <c r="J19" s="7">
        <v>0</v>
      </c>
      <c r="K19" s="11">
        <f t="shared" si="1"/>
        <v>730</v>
      </c>
      <c r="L19" s="11">
        <v>0</v>
      </c>
      <c r="M19" s="11">
        <f t="shared" si="2"/>
        <v>730</v>
      </c>
      <c r="N19" s="9"/>
    </row>
    <row r="20" spans="1:14">
      <c r="A20" s="7">
        <v>14</v>
      </c>
      <c r="B20" s="7" t="s">
        <v>34</v>
      </c>
      <c r="C20" s="7" t="s">
        <v>24</v>
      </c>
      <c r="D20" s="7">
        <v>600</v>
      </c>
      <c r="E20" s="7">
        <v>1</v>
      </c>
      <c r="F20" s="8">
        <v>1</v>
      </c>
      <c r="G20" s="9">
        <v>130</v>
      </c>
      <c r="H20" s="10">
        <f t="shared" si="0"/>
        <v>130</v>
      </c>
      <c r="I20" s="7">
        <v>0</v>
      </c>
      <c r="J20" s="7">
        <v>0</v>
      </c>
      <c r="K20" s="11">
        <f t="shared" si="1"/>
        <v>730</v>
      </c>
      <c r="L20" s="11">
        <v>0</v>
      </c>
      <c r="M20" s="11">
        <f t="shared" si="2"/>
        <v>730</v>
      </c>
      <c r="N20" s="9"/>
    </row>
    <row r="21" spans="1:14">
      <c r="A21" s="7">
        <v>15</v>
      </c>
      <c r="B21" s="7" t="s">
        <v>35</v>
      </c>
      <c r="C21" s="7" t="s">
        <v>19</v>
      </c>
      <c r="D21" s="7">
        <v>800</v>
      </c>
      <c r="E21" s="7">
        <v>12</v>
      </c>
      <c r="F21" s="8">
        <v>3</v>
      </c>
      <c r="G21" s="9">
        <v>150</v>
      </c>
      <c r="H21" s="10">
        <f t="shared" si="0"/>
        <v>450</v>
      </c>
      <c r="I21" s="7">
        <v>0</v>
      </c>
      <c r="J21" s="7">
        <v>1</v>
      </c>
      <c r="K21" s="11">
        <f t="shared" si="1"/>
        <v>10850</v>
      </c>
      <c r="L21" s="11">
        <v>1000</v>
      </c>
      <c r="M21" s="11">
        <f t="shared" si="2"/>
        <v>9850</v>
      </c>
      <c r="N21" s="9"/>
    </row>
    <row r="22" spans="1:14">
      <c r="A22" s="7">
        <v>16</v>
      </c>
      <c r="B22" s="7" t="s">
        <v>36</v>
      </c>
      <c r="C22" s="7" t="s">
        <v>19</v>
      </c>
      <c r="D22" s="7">
        <v>800</v>
      </c>
      <c r="E22" s="7">
        <v>12</v>
      </c>
      <c r="F22" s="8">
        <v>5</v>
      </c>
      <c r="G22" s="9">
        <v>150</v>
      </c>
      <c r="H22" s="10">
        <f t="shared" si="0"/>
        <v>750</v>
      </c>
      <c r="I22" s="7">
        <v>0</v>
      </c>
      <c r="J22" s="7">
        <v>1</v>
      </c>
      <c r="K22" s="11">
        <f t="shared" si="1"/>
        <v>11150</v>
      </c>
      <c r="L22" s="11">
        <v>1000</v>
      </c>
      <c r="M22" s="11">
        <f t="shared" si="2"/>
        <v>10150</v>
      </c>
      <c r="N22" s="9"/>
    </row>
    <row r="23" spans="1:14">
      <c r="A23" s="7">
        <v>17</v>
      </c>
      <c r="B23" s="7" t="s">
        <v>37</v>
      </c>
      <c r="C23" s="7" t="s">
        <v>21</v>
      </c>
      <c r="D23" s="7">
        <v>700</v>
      </c>
      <c r="E23" s="7">
        <v>11</v>
      </c>
      <c r="F23" s="8">
        <v>4</v>
      </c>
      <c r="G23" s="9">
        <v>140</v>
      </c>
      <c r="H23" s="10">
        <f t="shared" si="0"/>
        <v>560</v>
      </c>
      <c r="I23" s="7">
        <v>0</v>
      </c>
      <c r="J23" s="7">
        <v>1</v>
      </c>
      <c r="K23" s="11">
        <f t="shared" si="1"/>
        <v>8960</v>
      </c>
      <c r="L23" s="11">
        <v>1000</v>
      </c>
      <c r="M23" s="11">
        <f t="shared" si="2"/>
        <v>7960</v>
      </c>
      <c r="N23" s="9"/>
    </row>
    <row r="24" spans="1:14">
      <c r="A24" s="7">
        <v>18</v>
      </c>
      <c r="B24" s="7" t="s">
        <v>22</v>
      </c>
      <c r="C24" s="7" t="s">
        <v>21</v>
      </c>
      <c r="D24" s="7">
        <v>700</v>
      </c>
      <c r="E24" s="7">
        <v>14</v>
      </c>
      <c r="F24" s="8">
        <v>5</v>
      </c>
      <c r="G24" s="9">
        <v>140</v>
      </c>
      <c r="H24" s="10">
        <f t="shared" si="0"/>
        <v>700</v>
      </c>
      <c r="I24" s="7">
        <v>0</v>
      </c>
      <c r="J24" s="7">
        <v>2</v>
      </c>
      <c r="K24" s="11">
        <f t="shared" si="1"/>
        <v>11900</v>
      </c>
      <c r="L24" s="11">
        <v>1000</v>
      </c>
      <c r="M24" s="11">
        <f t="shared" si="2"/>
        <v>10900</v>
      </c>
      <c r="N24" s="9"/>
    </row>
    <row r="25" spans="1:14">
      <c r="A25" s="7">
        <v>19</v>
      </c>
      <c r="B25" s="7" t="s">
        <v>38</v>
      </c>
      <c r="C25" s="7" t="s">
        <v>19</v>
      </c>
      <c r="D25" s="7">
        <v>800</v>
      </c>
      <c r="E25" s="7">
        <v>14</v>
      </c>
      <c r="F25" s="8">
        <v>3</v>
      </c>
      <c r="G25" s="9">
        <v>150</v>
      </c>
      <c r="H25" s="10">
        <f t="shared" si="0"/>
        <v>450</v>
      </c>
      <c r="I25" s="7">
        <v>0</v>
      </c>
      <c r="J25" s="7">
        <v>2</v>
      </c>
      <c r="K25" s="11">
        <f t="shared" si="1"/>
        <v>13250</v>
      </c>
      <c r="L25" s="11">
        <v>1000</v>
      </c>
      <c r="M25" s="11">
        <f t="shared" si="2"/>
        <v>12250</v>
      </c>
      <c r="N25" s="9"/>
    </row>
    <row r="26" spans="1:14">
      <c r="A26" s="7">
        <v>20</v>
      </c>
      <c r="B26" s="7" t="s">
        <v>39</v>
      </c>
      <c r="C26" s="7" t="s">
        <v>24</v>
      </c>
      <c r="D26" s="7">
        <v>600</v>
      </c>
      <c r="E26" s="7">
        <v>13</v>
      </c>
      <c r="F26" s="8">
        <v>3</v>
      </c>
      <c r="G26" s="9">
        <v>130</v>
      </c>
      <c r="H26" s="10">
        <f t="shared" si="0"/>
        <v>390</v>
      </c>
      <c r="I26" s="7">
        <v>0</v>
      </c>
      <c r="J26" s="7">
        <v>2</v>
      </c>
      <c r="K26" s="11">
        <f t="shared" si="1"/>
        <v>9390</v>
      </c>
      <c r="L26" s="11">
        <v>1000</v>
      </c>
      <c r="M26" s="11">
        <f t="shared" si="2"/>
        <v>8390</v>
      </c>
      <c r="N26" s="9"/>
    </row>
    <row r="27" spans="1:14">
      <c r="A27" s="7">
        <v>21</v>
      </c>
      <c r="B27" s="7" t="s">
        <v>40</v>
      </c>
      <c r="C27" s="7" t="s">
        <v>21</v>
      </c>
      <c r="D27" s="7">
        <v>700</v>
      </c>
      <c r="E27" s="7">
        <v>4</v>
      </c>
      <c r="F27" s="8">
        <v>2</v>
      </c>
      <c r="G27" s="9">
        <v>140</v>
      </c>
      <c r="H27" s="10">
        <f t="shared" si="0"/>
        <v>280</v>
      </c>
      <c r="I27" s="7">
        <v>0</v>
      </c>
      <c r="J27" s="7">
        <v>0</v>
      </c>
      <c r="K27" s="11">
        <f t="shared" si="1"/>
        <v>3080</v>
      </c>
      <c r="L27" s="11">
        <v>0</v>
      </c>
      <c r="M27" s="11">
        <f t="shared" si="2"/>
        <v>3080</v>
      </c>
      <c r="N27" s="9"/>
    </row>
    <row r="28" spans="1:14">
      <c r="A28" s="7">
        <v>22</v>
      </c>
      <c r="B28" s="7" t="s">
        <v>41</v>
      </c>
      <c r="C28" s="7" t="s">
        <v>21</v>
      </c>
      <c r="D28" s="7">
        <v>700</v>
      </c>
      <c r="E28" s="7">
        <v>10</v>
      </c>
      <c r="F28" s="8">
        <v>3</v>
      </c>
      <c r="G28" s="9">
        <v>140</v>
      </c>
      <c r="H28" s="10">
        <f t="shared" si="0"/>
        <v>420</v>
      </c>
      <c r="I28" s="7">
        <v>0</v>
      </c>
      <c r="J28" s="7">
        <v>1</v>
      </c>
      <c r="K28" s="11">
        <f t="shared" si="1"/>
        <v>8120</v>
      </c>
      <c r="L28" s="11">
        <v>1000</v>
      </c>
      <c r="M28" s="11">
        <f t="shared" si="2"/>
        <v>7120</v>
      </c>
      <c r="N28" s="9"/>
    </row>
    <row r="29" spans="1:14">
      <c r="A29" s="7">
        <v>23</v>
      </c>
      <c r="B29" s="7" t="s">
        <v>42</v>
      </c>
      <c r="C29" s="7" t="s">
        <v>24</v>
      </c>
      <c r="D29" s="7">
        <v>600</v>
      </c>
      <c r="E29" s="7">
        <v>9</v>
      </c>
      <c r="F29" s="8">
        <v>3</v>
      </c>
      <c r="G29" s="9">
        <v>130</v>
      </c>
      <c r="H29" s="10">
        <f t="shared" si="0"/>
        <v>390</v>
      </c>
      <c r="I29" s="7">
        <v>0</v>
      </c>
      <c r="J29" s="7">
        <v>1</v>
      </c>
      <c r="K29" s="11">
        <f t="shared" si="1"/>
        <v>6390</v>
      </c>
      <c r="L29" s="11">
        <v>1000</v>
      </c>
      <c r="M29" s="11">
        <f t="shared" si="2"/>
        <v>5390</v>
      </c>
      <c r="N29" s="9"/>
    </row>
    <row r="30" spans="1:14">
      <c r="A30" s="7">
        <v>24</v>
      </c>
      <c r="B30" s="7" t="s">
        <v>43</v>
      </c>
      <c r="C30" s="7" t="s">
        <v>24</v>
      </c>
      <c r="D30" s="7">
        <v>600</v>
      </c>
      <c r="E30" s="7">
        <v>8</v>
      </c>
      <c r="F30" s="8">
        <v>3</v>
      </c>
      <c r="G30" s="9">
        <v>130</v>
      </c>
      <c r="H30" s="10">
        <f t="shared" si="0"/>
        <v>390</v>
      </c>
      <c r="I30" s="7">
        <v>0</v>
      </c>
      <c r="J30" s="7">
        <v>1</v>
      </c>
      <c r="K30" s="11">
        <f t="shared" si="1"/>
        <v>5790</v>
      </c>
      <c r="L30" s="11">
        <v>1000</v>
      </c>
      <c r="M30" s="11">
        <f t="shared" si="2"/>
        <v>4790</v>
      </c>
      <c r="N30" s="9"/>
    </row>
    <row r="31" spans="1:14">
      <c r="A31" s="7">
        <v>25</v>
      </c>
      <c r="B31" s="7" t="s">
        <v>44</v>
      </c>
      <c r="C31" s="7" t="s">
        <v>21</v>
      </c>
      <c r="D31" s="7">
        <v>700</v>
      </c>
      <c r="E31" s="7">
        <v>10</v>
      </c>
      <c r="F31" s="8">
        <v>3</v>
      </c>
      <c r="G31" s="9">
        <v>140</v>
      </c>
      <c r="H31" s="10">
        <f t="shared" si="0"/>
        <v>420</v>
      </c>
      <c r="I31" s="7">
        <v>0</v>
      </c>
      <c r="J31" s="7">
        <v>1</v>
      </c>
      <c r="K31" s="11">
        <f t="shared" si="1"/>
        <v>8120</v>
      </c>
      <c r="L31" s="11">
        <v>1000</v>
      </c>
      <c r="M31" s="11">
        <f t="shared" si="2"/>
        <v>7120</v>
      </c>
      <c r="N31" s="9"/>
    </row>
    <row r="32" spans="1:14">
      <c r="A32" s="7">
        <v>26</v>
      </c>
      <c r="B32" s="7" t="s">
        <v>45</v>
      </c>
      <c r="C32" s="7" t="s">
        <v>21</v>
      </c>
      <c r="D32" s="7">
        <v>700</v>
      </c>
      <c r="E32" s="7">
        <v>9</v>
      </c>
      <c r="F32" s="8">
        <v>2</v>
      </c>
      <c r="G32" s="9">
        <v>140</v>
      </c>
      <c r="H32" s="10">
        <f t="shared" si="0"/>
        <v>280</v>
      </c>
      <c r="I32" s="7">
        <v>0</v>
      </c>
      <c r="J32" s="7">
        <v>1</v>
      </c>
      <c r="K32" s="11">
        <f t="shared" si="1"/>
        <v>7280</v>
      </c>
      <c r="L32" s="11">
        <v>1000</v>
      </c>
      <c r="M32" s="11">
        <f t="shared" si="2"/>
        <v>6280</v>
      </c>
      <c r="N32" s="9"/>
    </row>
    <row r="33" spans="1:14">
      <c r="A33" s="7">
        <v>27</v>
      </c>
      <c r="B33" s="7" t="s">
        <v>46</v>
      </c>
      <c r="C33" s="7" t="s">
        <v>21</v>
      </c>
      <c r="D33" s="7">
        <v>700</v>
      </c>
      <c r="E33" s="7">
        <v>6</v>
      </c>
      <c r="F33" s="8">
        <v>1</v>
      </c>
      <c r="G33" s="9">
        <v>140</v>
      </c>
      <c r="H33" s="10">
        <f t="shared" si="0"/>
        <v>140</v>
      </c>
      <c r="I33" s="7">
        <v>0</v>
      </c>
      <c r="J33" s="7">
        <v>0</v>
      </c>
      <c r="K33" s="11">
        <f t="shared" si="1"/>
        <v>4340</v>
      </c>
      <c r="L33" s="11">
        <v>0</v>
      </c>
      <c r="M33" s="11">
        <f t="shared" si="2"/>
        <v>4340</v>
      </c>
      <c r="N33" s="9"/>
    </row>
    <row r="34" spans="1:14">
      <c r="A34" s="9"/>
      <c r="B34" s="9"/>
      <c r="C34" s="9"/>
      <c r="D34" s="7"/>
      <c r="E34" s="7"/>
      <c r="F34" s="7"/>
      <c r="G34" s="12"/>
      <c r="H34" s="7"/>
      <c r="I34" s="7"/>
      <c r="J34" s="7"/>
      <c r="K34" s="11"/>
      <c r="L34" s="11"/>
      <c r="M34" s="11"/>
      <c r="N34" s="9"/>
    </row>
    <row r="35" spans="1:14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</row>
  </sheetData>
  <mergeCells count="3">
    <mergeCell ref="A2:N2"/>
    <mergeCell ref="A3:N3"/>
    <mergeCell ref="A4:N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</dc:creator>
  <cp:lastModifiedBy>Window</cp:lastModifiedBy>
  <dcterms:created xsi:type="dcterms:W3CDTF">2025-09-04T12:26:25Z</dcterms:created>
  <dcterms:modified xsi:type="dcterms:W3CDTF">2025-09-05T08:09:45Z</dcterms:modified>
</cp:coreProperties>
</file>