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/>
  <bookViews>
    <workbookView xWindow="0" yWindow="0" windowWidth="19420" windowHeight="10160"/>
  </bookViews>
  <sheets>
    <sheet name="MARCH 2025" sheetId="1" r:id="rId1"/>
  </sheets>
  <calcPr calcId="125725"/>
  <extLst xmlns:x15="http://schemas.microsoft.com/office/spreadsheetml/2010/11/main"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3" i="1"/>
  <c r="K23" s="1"/>
  <c r="M23" s="1"/>
  <c r="H22"/>
  <c r="K22" s="1"/>
  <c r="M22" s="1"/>
  <c r="H21"/>
  <c r="K21" s="1"/>
  <c r="M21" s="1"/>
  <c r="H20"/>
  <c r="K20" s="1"/>
  <c r="M20" s="1"/>
  <c r="H19"/>
  <c r="K19" s="1"/>
  <c r="M19" s="1"/>
  <c r="H18"/>
  <c r="K18" s="1"/>
  <c r="M18" s="1"/>
  <c r="H17"/>
  <c r="K17" s="1"/>
  <c r="M17" s="1"/>
  <c r="H16"/>
  <c r="K16" s="1"/>
  <c r="M16" s="1"/>
  <c r="H15"/>
  <c r="K15" s="1"/>
  <c r="M15" s="1"/>
  <c r="H14"/>
  <c r="K14" s="1"/>
  <c r="M14" s="1"/>
  <c r="H13"/>
  <c r="K13" s="1"/>
  <c r="M13" s="1"/>
  <c r="H12"/>
  <c r="K12" s="1"/>
  <c r="M12" s="1"/>
  <c r="H11"/>
  <c r="K11" s="1"/>
  <c r="M11" s="1"/>
  <c r="K10"/>
  <c r="M10" s="1"/>
  <c r="H10"/>
  <c r="H9"/>
  <c r="K9" s="1"/>
  <c r="M9" s="1"/>
  <c r="H8"/>
  <c r="K8" s="1"/>
  <c r="M8" s="1"/>
  <c r="H7"/>
  <c r="K7" s="1"/>
  <c r="M7" s="1"/>
  <c r="H6"/>
  <c r="K6" s="1"/>
  <c r="M6" s="1"/>
</calcChain>
</file>

<file path=xl/sharedStrings.xml><?xml version="1.0" encoding="utf-8"?>
<sst xmlns="http://schemas.openxmlformats.org/spreadsheetml/2006/main" count="54" uniqueCount="39">
  <si>
    <t xml:space="preserve">Wages Details </t>
  </si>
  <si>
    <r>
      <rPr>
        <sz val="16"/>
        <color theme="1"/>
        <rFont val="Calibri"/>
        <charset val="134"/>
        <scheme val="minor"/>
      </rPr>
      <t xml:space="preserve">  </t>
    </r>
    <r>
      <rPr>
        <b/>
        <sz val="16"/>
        <color theme="1"/>
        <rFont val="Calibri"/>
        <charset val="134"/>
        <scheme val="minor"/>
      </rPr>
      <t>Client:-</t>
    </r>
    <r>
      <rPr>
        <sz val="16"/>
        <color theme="1"/>
        <rFont val="Calibri"/>
        <charset val="134"/>
        <scheme val="minor"/>
      </rPr>
      <t xml:space="preserve"> CD-2 (ADB) P.W.D. Nanital                                                                                      </t>
    </r>
    <r>
      <rPr>
        <b/>
        <sz val="16"/>
        <color theme="1"/>
        <rFont val="Calibri"/>
        <charset val="134"/>
        <scheme val="minor"/>
      </rPr>
      <t>Company:-</t>
    </r>
    <r>
      <rPr>
        <sz val="16"/>
        <color theme="1"/>
        <rFont val="Calibri"/>
        <charset val="134"/>
        <scheme val="minor"/>
      </rPr>
      <t xml:space="preserve"> M/S Laxmi Datt Binwal                </t>
    </r>
  </si>
  <si>
    <r>
      <rPr>
        <b/>
        <sz val="12"/>
        <color theme="1"/>
        <rFont val="Calibri"/>
        <charset val="134"/>
        <scheme val="minor"/>
      </rPr>
      <t>Name of Work:-</t>
    </r>
    <r>
      <rPr>
        <sz val="12"/>
        <color theme="1"/>
        <rFont val="Calibri"/>
        <charset val="134"/>
        <scheme val="minor"/>
      </rPr>
      <t>Construction of  120 M  span double lane R.C.C Prestress concrete Bridge over shernala at km 82 Ramnagar- Kaladhungi- Chorgaliya- Sitarganj- Bisti Motar Road</t>
    </r>
  </si>
  <si>
    <t>No. of Days</t>
  </si>
  <si>
    <t xml:space="preserve">S. NO. </t>
  </si>
  <si>
    <t>Name of Labour</t>
  </si>
  <si>
    <t>Designation</t>
  </si>
  <si>
    <t>Per Day Wage</t>
  </si>
  <si>
    <t>No. of Working Days</t>
  </si>
  <si>
    <t>OT in Hours</t>
  </si>
  <si>
    <t>OT in Rate</t>
  </si>
  <si>
    <t>Total OT
(In Rs.)</t>
  </si>
  <si>
    <t>Leaves</t>
  </si>
  <si>
    <t>Off Days</t>
  </si>
  <si>
    <t>Total wage</t>
  </si>
  <si>
    <t>Advance Payment</t>
  </si>
  <si>
    <t>Final Amount Paid</t>
  </si>
  <si>
    <t>Remark</t>
  </si>
  <si>
    <t>Amar Kumar</t>
  </si>
  <si>
    <t>Labour/Semi skilled</t>
  </si>
  <si>
    <t>Karan</t>
  </si>
  <si>
    <t>Labour/Unskilled</t>
  </si>
  <si>
    <t>Sandeep</t>
  </si>
  <si>
    <t>Abhishek</t>
  </si>
  <si>
    <t>Shivam</t>
  </si>
  <si>
    <t>Arjun</t>
  </si>
  <si>
    <t>Labour/Skilled</t>
  </si>
  <si>
    <t>Sudheer</t>
  </si>
  <si>
    <t>Raju</t>
  </si>
  <si>
    <t>Namechand</t>
  </si>
  <si>
    <t>Rana</t>
  </si>
  <si>
    <t>Sonu</t>
  </si>
  <si>
    <t>Babadeen</t>
  </si>
  <si>
    <t xml:space="preserve">Amit </t>
  </si>
  <si>
    <t>Anil</t>
  </si>
  <si>
    <t>Jaswant Singh</t>
  </si>
  <si>
    <t>Sonu 2</t>
  </si>
  <si>
    <t>Anuj</t>
  </si>
  <si>
    <t>Popin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</si>
</sst>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charset val="134"/>
      <scheme val="minor"/>
    </font>
    <font>
      <sz val="20"/>
      <color theme="1"/>
      <name val="Calibri"/>
      <charset val="134"/>
      <scheme val="minor"/>
    </font>
    <font>
      <sz val="16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3" borderId="1" xfId="0" applyFill="1" applyBorder="1" applyAlignment="1">
      <alignment horizontal="center"/>
    </xf>
    <xf numFmtId="17" fontId="0" fillId="3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1" xfId="0" applyFont="1" applyBorder="1"/>
    <xf numFmtId="0" fontId="0" fillId="0" borderId="1" xfId="0" applyFill="1" applyBorder="1" applyAlignment="1">
      <alignment horizontal="center"/>
    </xf>
    <xf numFmtId="0" fontId="0" fillId="0" borderId="1" xfId="0" applyFill="1" applyBorder="1"/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N23"/>
  <sheetViews>
    <sheetView tabSelected="1" workbookViewId="0">
      <selection activeCell="B4" sqref="B4"/>
    </sheetView>
  </sheetViews>
  <sheetFormatPr defaultRowHeight="14.5"/>
  <cols>
    <col min="1" max="1" width="8.7265625" style="5"/>
    <col min="2" max="2" width="14.08984375" style="5" customWidth="1"/>
    <col min="3" max="3" width="16.7265625" style="5" customWidth="1"/>
    <col min="4" max="4" width="14.08984375" style="5" customWidth="1"/>
    <col min="5" max="5" width="18.08984375" style="5" customWidth="1"/>
    <col min="6" max="6" width="11.26953125" style="5" customWidth="1"/>
    <col min="7" max="7" width="9.26953125" style="5" customWidth="1"/>
    <col min="8" max="10" width="8.7265625" style="5"/>
    <col min="11" max="11" width="9.81640625" style="5" customWidth="1"/>
    <col min="12" max="12" width="15.81640625" style="5" customWidth="1"/>
    <col min="13" max="13" width="15.6328125" style="5" customWidth="1"/>
    <col min="14" max="16384" width="8.7265625" style="5"/>
  </cols>
  <sheetData>
    <row r="1" spans="1:14" ht="26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</row>
    <row r="2" spans="1:14" ht="21">
      <c r="A2" s="12" t="s">
        <v>1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</row>
    <row r="3" spans="1:14" ht="15.5">
      <c r="A3" s="13" t="s">
        <v>2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</row>
    <row r="4" spans="1:14">
      <c r="A4" s="1"/>
      <c r="B4" s="2">
        <v>45717</v>
      </c>
      <c r="C4" s="1" t="s">
        <v>3</v>
      </c>
      <c r="D4" s="1">
        <v>30</v>
      </c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ht="29">
      <c r="A5" s="3" t="s">
        <v>4</v>
      </c>
      <c r="B5" s="3" t="s">
        <v>5</v>
      </c>
      <c r="C5" s="3" t="s">
        <v>6</v>
      </c>
      <c r="D5" s="3" t="s">
        <v>7</v>
      </c>
      <c r="E5" s="3" t="s">
        <v>8</v>
      </c>
      <c r="F5" s="3" t="s">
        <v>9</v>
      </c>
      <c r="G5" s="3" t="s">
        <v>10</v>
      </c>
      <c r="H5" s="4" t="s">
        <v>11</v>
      </c>
      <c r="I5" s="3" t="s">
        <v>12</v>
      </c>
      <c r="J5" s="3" t="s">
        <v>13</v>
      </c>
      <c r="K5" s="3" t="s">
        <v>14</v>
      </c>
      <c r="L5" s="3" t="s">
        <v>15</v>
      </c>
      <c r="M5" s="3" t="s">
        <v>16</v>
      </c>
      <c r="N5" s="3" t="s">
        <v>17</v>
      </c>
    </row>
    <row r="6" spans="1:14">
      <c r="A6" s="6">
        <v>1</v>
      </c>
      <c r="B6" s="7" t="s">
        <v>18</v>
      </c>
      <c r="C6" s="7" t="s">
        <v>19</v>
      </c>
      <c r="D6" s="6">
        <v>700</v>
      </c>
      <c r="E6" s="6">
        <v>10</v>
      </c>
      <c r="F6" s="6">
        <v>2</v>
      </c>
      <c r="G6" s="6">
        <v>140</v>
      </c>
      <c r="H6" s="5">
        <f>(F6*G6)</f>
        <v>280</v>
      </c>
      <c r="I6" s="6">
        <v>0</v>
      </c>
      <c r="J6" s="6">
        <v>1</v>
      </c>
      <c r="K6" s="5">
        <f>(J6+E6)*D6+H6</f>
        <v>7980</v>
      </c>
      <c r="L6" s="6">
        <v>1000</v>
      </c>
      <c r="M6" s="5">
        <f>(K6-L6)</f>
        <v>6980</v>
      </c>
    </row>
    <row r="7" spans="1:14">
      <c r="A7" s="6">
        <v>2</v>
      </c>
      <c r="B7" s="7" t="s">
        <v>20</v>
      </c>
      <c r="C7" s="7" t="s">
        <v>21</v>
      </c>
      <c r="D7" s="6">
        <v>600</v>
      </c>
      <c r="E7" s="6">
        <v>10</v>
      </c>
      <c r="F7" s="6">
        <v>2</v>
      </c>
      <c r="G7" s="6">
        <v>130</v>
      </c>
      <c r="H7" s="5">
        <f>(F7*G7)</f>
        <v>260</v>
      </c>
      <c r="I7" s="6">
        <v>0</v>
      </c>
      <c r="J7" s="6">
        <v>1</v>
      </c>
      <c r="K7" s="5">
        <f t="shared" ref="K7:K23" si="0">(J7+E7)*D7+H7</f>
        <v>6860</v>
      </c>
      <c r="L7" s="6">
        <v>1000</v>
      </c>
      <c r="M7" s="5">
        <f t="shared" ref="M7:M23" si="1">(K7-L7)</f>
        <v>5860</v>
      </c>
    </row>
    <row r="8" spans="1:14">
      <c r="A8" s="6">
        <v>3</v>
      </c>
      <c r="B8" s="7" t="s">
        <v>22</v>
      </c>
      <c r="C8" s="7" t="s">
        <v>19</v>
      </c>
      <c r="D8" s="6">
        <v>700</v>
      </c>
      <c r="E8" s="6">
        <v>9</v>
      </c>
      <c r="F8" s="6">
        <v>2</v>
      </c>
      <c r="G8" s="6">
        <v>130</v>
      </c>
      <c r="H8" s="5">
        <f t="shared" ref="H8:H23" si="2">(F8*G8)</f>
        <v>260</v>
      </c>
      <c r="I8" s="6">
        <v>0</v>
      </c>
      <c r="J8" s="6">
        <v>1</v>
      </c>
      <c r="K8" s="5">
        <f t="shared" si="0"/>
        <v>7260</v>
      </c>
      <c r="L8" s="6">
        <v>1000</v>
      </c>
      <c r="M8" s="5">
        <f t="shared" si="1"/>
        <v>6260</v>
      </c>
    </row>
    <row r="9" spans="1:14">
      <c r="A9" s="8">
        <v>4</v>
      </c>
      <c r="B9" s="7" t="s">
        <v>23</v>
      </c>
      <c r="C9" s="7" t="s">
        <v>21</v>
      </c>
      <c r="D9" s="8">
        <v>600</v>
      </c>
      <c r="E9" s="8">
        <v>9</v>
      </c>
      <c r="F9" s="8">
        <v>2</v>
      </c>
      <c r="G9" s="6">
        <v>130</v>
      </c>
      <c r="H9" s="5">
        <f t="shared" si="2"/>
        <v>260</v>
      </c>
      <c r="I9" s="6">
        <v>0</v>
      </c>
      <c r="J9" s="6">
        <v>1</v>
      </c>
      <c r="K9" s="5">
        <f t="shared" si="0"/>
        <v>6260</v>
      </c>
      <c r="L9" s="6">
        <v>1000</v>
      </c>
      <c r="M9" s="5">
        <f t="shared" si="1"/>
        <v>5260</v>
      </c>
    </row>
    <row r="10" spans="1:14">
      <c r="A10" s="8">
        <v>5</v>
      </c>
      <c r="B10" s="7" t="s">
        <v>24</v>
      </c>
      <c r="C10" s="7" t="s">
        <v>21</v>
      </c>
      <c r="D10" s="8">
        <v>600</v>
      </c>
      <c r="E10" s="8">
        <v>9</v>
      </c>
      <c r="F10" s="8">
        <v>2</v>
      </c>
      <c r="G10" s="8">
        <v>130</v>
      </c>
      <c r="H10" s="9">
        <f t="shared" si="2"/>
        <v>260</v>
      </c>
      <c r="I10" s="6">
        <v>0</v>
      </c>
      <c r="J10" s="6">
        <v>1</v>
      </c>
      <c r="K10" s="5">
        <f t="shared" si="0"/>
        <v>6260</v>
      </c>
      <c r="L10" s="6">
        <v>1000</v>
      </c>
      <c r="M10" s="5">
        <f t="shared" si="1"/>
        <v>5260</v>
      </c>
    </row>
    <row r="11" spans="1:14">
      <c r="A11" s="8">
        <v>6</v>
      </c>
      <c r="B11" s="7" t="s">
        <v>25</v>
      </c>
      <c r="C11" s="7" t="s">
        <v>26</v>
      </c>
      <c r="D11" s="8">
        <v>800</v>
      </c>
      <c r="E11" s="8">
        <v>12</v>
      </c>
      <c r="F11" s="8">
        <v>3</v>
      </c>
      <c r="G11" s="8">
        <v>150</v>
      </c>
      <c r="H11" s="9">
        <f t="shared" si="2"/>
        <v>450</v>
      </c>
      <c r="I11" s="6">
        <v>0</v>
      </c>
      <c r="J11" s="6">
        <v>1</v>
      </c>
      <c r="K11" s="5">
        <f t="shared" si="0"/>
        <v>10850</v>
      </c>
      <c r="L11" s="6">
        <v>1000</v>
      </c>
      <c r="M11" s="5">
        <f t="shared" si="1"/>
        <v>9850</v>
      </c>
    </row>
    <row r="12" spans="1:14">
      <c r="A12" s="8">
        <v>7</v>
      </c>
      <c r="B12" s="7" t="s">
        <v>27</v>
      </c>
      <c r="C12" s="7" t="s">
        <v>26</v>
      </c>
      <c r="D12" s="8">
        <v>800</v>
      </c>
      <c r="E12" s="8">
        <v>23</v>
      </c>
      <c r="F12" s="8">
        <v>6</v>
      </c>
      <c r="G12" s="8">
        <v>150</v>
      </c>
      <c r="H12" s="9">
        <f t="shared" si="2"/>
        <v>900</v>
      </c>
      <c r="I12" s="6">
        <v>0</v>
      </c>
      <c r="J12" s="6">
        <v>3</v>
      </c>
      <c r="K12" s="5">
        <f t="shared" si="0"/>
        <v>21700</v>
      </c>
      <c r="L12" s="6">
        <v>4000</v>
      </c>
      <c r="M12" s="5">
        <f t="shared" si="1"/>
        <v>17700</v>
      </c>
    </row>
    <row r="13" spans="1:14">
      <c r="A13" s="8">
        <v>8</v>
      </c>
      <c r="B13" s="7" t="s">
        <v>28</v>
      </c>
      <c r="C13" s="7" t="s">
        <v>26</v>
      </c>
      <c r="D13" s="8">
        <v>800</v>
      </c>
      <c r="E13" s="8">
        <v>23</v>
      </c>
      <c r="F13" s="8">
        <v>6</v>
      </c>
      <c r="G13" s="8">
        <v>150</v>
      </c>
      <c r="H13" s="9">
        <f t="shared" si="2"/>
        <v>900</v>
      </c>
      <c r="I13" s="6">
        <v>0</v>
      </c>
      <c r="J13" s="6">
        <v>3</v>
      </c>
      <c r="K13" s="5">
        <f t="shared" si="0"/>
        <v>21700</v>
      </c>
      <c r="L13" s="6">
        <v>4000</v>
      </c>
      <c r="M13" s="5">
        <f t="shared" si="1"/>
        <v>17700</v>
      </c>
    </row>
    <row r="14" spans="1:14">
      <c r="A14" s="8">
        <v>9</v>
      </c>
      <c r="B14" s="7" t="s">
        <v>29</v>
      </c>
      <c r="C14" s="7" t="s">
        <v>21</v>
      </c>
      <c r="D14" s="8">
        <v>600</v>
      </c>
      <c r="E14" s="8">
        <v>4</v>
      </c>
      <c r="F14" s="8">
        <v>0</v>
      </c>
      <c r="G14" s="8">
        <v>130</v>
      </c>
      <c r="H14" s="9">
        <f t="shared" si="2"/>
        <v>0</v>
      </c>
      <c r="I14" s="6">
        <v>0</v>
      </c>
      <c r="J14" s="6">
        <v>0</v>
      </c>
      <c r="K14" s="5">
        <f t="shared" si="0"/>
        <v>2400</v>
      </c>
      <c r="L14" s="6">
        <v>0</v>
      </c>
      <c r="M14" s="5">
        <f t="shared" si="1"/>
        <v>2400</v>
      </c>
    </row>
    <row r="15" spans="1:14">
      <c r="A15" s="8">
        <v>10</v>
      </c>
      <c r="B15" s="7" t="s">
        <v>30</v>
      </c>
      <c r="C15" s="7" t="s">
        <v>26</v>
      </c>
      <c r="D15" s="8">
        <v>800</v>
      </c>
      <c r="E15" s="8">
        <v>9</v>
      </c>
      <c r="F15" s="8">
        <v>2</v>
      </c>
      <c r="G15" s="8">
        <v>150</v>
      </c>
      <c r="H15" s="9">
        <f t="shared" si="2"/>
        <v>300</v>
      </c>
      <c r="I15" s="6">
        <v>0</v>
      </c>
      <c r="J15" s="6">
        <v>1</v>
      </c>
      <c r="K15" s="5">
        <f t="shared" si="0"/>
        <v>8300</v>
      </c>
      <c r="L15" s="6">
        <v>1000</v>
      </c>
      <c r="M15" s="5">
        <f t="shared" si="1"/>
        <v>7300</v>
      </c>
    </row>
    <row r="16" spans="1:14">
      <c r="A16" s="8">
        <v>11</v>
      </c>
      <c r="B16" s="7" t="s">
        <v>31</v>
      </c>
      <c r="C16" s="7" t="s">
        <v>19</v>
      </c>
      <c r="D16" s="8">
        <v>700</v>
      </c>
      <c r="E16" s="8">
        <v>10</v>
      </c>
      <c r="F16" s="8">
        <v>2</v>
      </c>
      <c r="G16" s="8">
        <v>140</v>
      </c>
      <c r="H16" s="9">
        <f t="shared" si="2"/>
        <v>280</v>
      </c>
      <c r="I16" s="6">
        <v>0</v>
      </c>
      <c r="J16" s="6">
        <v>1</v>
      </c>
      <c r="K16" s="5">
        <f t="shared" si="0"/>
        <v>7980</v>
      </c>
      <c r="L16" s="6">
        <v>1000</v>
      </c>
      <c r="M16" s="5">
        <f t="shared" si="1"/>
        <v>6980</v>
      </c>
    </row>
    <row r="17" spans="1:13">
      <c r="A17" s="8">
        <v>12</v>
      </c>
      <c r="B17" s="7" t="s">
        <v>32</v>
      </c>
      <c r="C17" s="7" t="s">
        <v>26</v>
      </c>
      <c r="D17" s="8">
        <v>800</v>
      </c>
      <c r="E17" s="8">
        <v>9</v>
      </c>
      <c r="F17" s="8">
        <v>2</v>
      </c>
      <c r="G17" s="8">
        <v>150</v>
      </c>
      <c r="H17" s="9">
        <f t="shared" si="2"/>
        <v>300</v>
      </c>
      <c r="I17" s="6">
        <v>0</v>
      </c>
      <c r="J17" s="6">
        <v>1</v>
      </c>
      <c r="K17" s="5">
        <f t="shared" si="0"/>
        <v>8300</v>
      </c>
      <c r="L17" s="6">
        <v>1000</v>
      </c>
      <c r="M17" s="5">
        <f t="shared" si="1"/>
        <v>7300</v>
      </c>
    </row>
    <row r="18" spans="1:13">
      <c r="A18" s="8">
        <v>13</v>
      </c>
      <c r="B18" s="7" t="s">
        <v>33</v>
      </c>
      <c r="C18" s="7" t="s">
        <v>19</v>
      </c>
      <c r="D18" s="8">
        <v>700</v>
      </c>
      <c r="E18" s="8">
        <v>9</v>
      </c>
      <c r="F18" s="8">
        <v>2</v>
      </c>
      <c r="G18" s="8">
        <v>140</v>
      </c>
      <c r="H18" s="9">
        <f t="shared" si="2"/>
        <v>280</v>
      </c>
      <c r="I18" s="6">
        <v>0</v>
      </c>
      <c r="J18" s="6">
        <v>1</v>
      </c>
      <c r="K18" s="5">
        <f t="shared" si="0"/>
        <v>7280</v>
      </c>
      <c r="L18" s="6">
        <v>1000</v>
      </c>
      <c r="M18" s="5">
        <f t="shared" si="1"/>
        <v>6280</v>
      </c>
    </row>
    <row r="19" spans="1:13">
      <c r="A19" s="8">
        <v>14</v>
      </c>
      <c r="B19" s="7" t="s">
        <v>34</v>
      </c>
      <c r="C19" s="7" t="s">
        <v>21</v>
      </c>
      <c r="D19" s="8">
        <v>600</v>
      </c>
      <c r="E19" s="8">
        <v>4</v>
      </c>
      <c r="F19" s="8">
        <v>2</v>
      </c>
      <c r="G19" s="8">
        <v>130</v>
      </c>
      <c r="H19" s="9">
        <f t="shared" si="2"/>
        <v>260</v>
      </c>
      <c r="I19" s="6">
        <v>0</v>
      </c>
      <c r="J19" s="6">
        <v>0</v>
      </c>
      <c r="K19" s="5">
        <f t="shared" si="0"/>
        <v>2660</v>
      </c>
      <c r="L19" s="6">
        <v>0</v>
      </c>
      <c r="M19" s="5">
        <f t="shared" si="1"/>
        <v>2660</v>
      </c>
    </row>
    <row r="20" spans="1:13">
      <c r="A20" s="8">
        <v>15</v>
      </c>
      <c r="B20" s="7" t="s">
        <v>35</v>
      </c>
      <c r="C20" s="7" t="s">
        <v>26</v>
      </c>
      <c r="D20" s="8">
        <v>800</v>
      </c>
      <c r="E20" s="8">
        <v>4</v>
      </c>
      <c r="F20" s="8">
        <v>0</v>
      </c>
      <c r="G20" s="8">
        <v>150</v>
      </c>
      <c r="H20" s="9">
        <f t="shared" si="2"/>
        <v>0</v>
      </c>
      <c r="I20" s="6">
        <v>0</v>
      </c>
      <c r="J20" s="6">
        <v>0</v>
      </c>
      <c r="K20" s="5">
        <f t="shared" si="0"/>
        <v>3200</v>
      </c>
      <c r="L20" s="6">
        <v>0</v>
      </c>
      <c r="M20" s="5">
        <f t="shared" si="1"/>
        <v>3200</v>
      </c>
    </row>
    <row r="21" spans="1:13">
      <c r="A21" s="8">
        <v>16</v>
      </c>
      <c r="B21" s="7" t="s">
        <v>36</v>
      </c>
      <c r="C21" s="7" t="s">
        <v>21</v>
      </c>
      <c r="D21" s="8">
        <v>600</v>
      </c>
      <c r="E21" s="8">
        <v>4</v>
      </c>
      <c r="F21" s="8">
        <v>0</v>
      </c>
      <c r="G21" s="8">
        <v>130</v>
      </c>
      <c r="H21" s="9">
        <f t="shared" si="2"/>
        <v>0</v>
      </c>
      <c r="I21" s="6">
        <v>0</v>
      </c>
      <c r="J21" s="6">
        <v>0</v>
      </c>
      <c r="K21" s="5">
        <f t="shared" si="0"/>
        <v>2400</v>
      </c>
      <c r="L21" s="6">
        <v>0</v>
      </c>
      <c r="M21" s="5">
        <f t="shared" si="1"/>
        <v>2400</v>
      </c>
    </row>
    <row r="22" spans="1:13">
      <c r="A22" s="8">
        <v>17</v>
      </c>
      <c r="B22" s="7" t="s">
        <v>37</v>
      </c>
      <c r="C22" s="7" t="s">
        <v>21</v>
      </c>
      <c r="D22" s="8">
        <v>600</v>
      </c>
      <c r="E22" s="8">
        <v>4</v>
      </c>
      <c r="F22" s="8">
        <v>0</v>
      </c>
      <c r="G22" s="8">
        <v>130</v>
      </c>
      <c r="H22" s="9">
        <f t="shared" si="2"/>
        <v>0</v>
      </c>
      <c r="I22" s="6">
        <v>0</v>
      </c>
      <c r="J22" s="6">
        <v>0</v>
      </c>
      <c r="K22" s="5">
        <f t="shared" si="0"/>
        <v>2400</v>
      </c>
      <c r="L22" s="6">
        <v>0</v>
      </c>
      <c r="M22" s="5">
        <f t="shared" si="1"/>
        <v>2400</v>
      </c>
    </row>
    <row r="23" spans="1:13">
      <c r="A23" s="8">
        <v>18</v>
      </c>
      <c r="B23" s="7" t="s">
        <v>38</v>
      </c>
      <c r="C23" s="7" t="s">
        <v>21</v>
      </c>
      <c r="D23" s="8">
        <v>600</v>
      </c>
      <c r="E23" s="8">
        <v>4</v>
      </c>
      <c r="F23" s="8">
        <v>0</v>
      </c>
      <c r="G23" s="8">
        <v>130</v>
      </c>
      <c r="H23" s="9">
        <f t="shared" si="2"/>
        <v>0</v>
      </c>
      <c r="I23" s="6">
        <v>0</v>
      </c>
      <c r="J23" s="6">
        <v>0</v>
      </c>
      <c r="K23" s="5">
        <f t="shared" si="0"/>
        <v>2400</v>
      </c>
      <c r="L23" s="6">
        <v>0</v>
      </c>
      <c r="M23" s="5">
        <f t="shared" si="1"/>
        <v>2400</v>
      </c>
    </row>
  </sheetData>
  <mergeCells count="3">
    <mergeCell ref="A1:N1"/>
    <mergeCell ref="A2:N2"/>
    <mergeCell ref="A3:N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MARCH 2025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</dc:creator>
  <cp:lastModifiedBy>Window</cp:lastModifiedBy>
  <dcterms:created xsi:type="dcterms:W3CDTF">2025-08-29T09:13:05Z</dcterms:created>
  <dcterms:modified xsi:type="dcterms:W3CDTF">2025-09-05T08:07:57Z</dcterms:modified>
</cp:coreProperties>
</file>