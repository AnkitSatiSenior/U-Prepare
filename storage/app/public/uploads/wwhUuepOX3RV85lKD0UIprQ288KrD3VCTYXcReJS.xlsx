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manshu Sharma\Downloads\"/>
    </mc:Choice>
  </mc:AlternateContent>
  <bookViews>
    <workbookView xWindow="0" yWindow="0" windowWidth="28800" windowHeight="11580"/>
  </bookViews>
  <sheets>
    <sheet name="FEBRUARY-2025" sheetId="1" r:id="rId1"/>
  </sheets>
  <calcPr calcId="162913"/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6" i="1"/>
  <c r="H27" i="1" l="1"/>
  <c r="H26" i="1"/>
  <c r="H25" i="1"/>
  <c r="H24" i="1"/>
  <c r="H23" i="1"/>
  <c r="H22" i="1"/>
  <c r="H21" i="1"/>
  <c r="H9" i="1" l="1"/>
  <c r="H10" i="1"/>
  <c r="H11" i="1"/>
  <c r="H12" i="1"/>
  <c r="H13" i="1"/>
  <c r="H14" i="1"/>
  <c r="H15" i="1"/>
  <c r="H16" i="1"/>
  <c r="H17" i="1"/>
  <c r="H18" i="1"/>
  <c r="H19" i="1"/>
  <c r="H20" i="1"/>
  <c r="H8" i="1"/>
  <c r="H7" i="1"/>
  <c r="H6" i="1"/>
</calcChain>
</file>

<file path=xl/sharedStrings.xml><?xml version="1.0" encoding="utf-8"?>
<sst xmlns="http://schemas.openxmlformats.org/spreadsheetml/2006/main" count="83" uniqueCount="43">
  <si>
    <t>Name of Labour</t>
  </si>
  <si>
    <t>Designation</t>
  </si>
  <si>
    <t>Labour/Semi Skilled</t>
  </si>
  <si>
    <t>-</t>
  </si>
  <si>
    <t>Labour/Unskilled</t>
  </si>
  <si>
    <r>
      <t xml:space="preserve">  </t>
    </r>
    <r>
      <rPr>
        <b/>
        <sz val="16"/>
        <color theme="1"/>
        <rFont val="Calibri"/>
        <charset val="134"/>
        <scheme val="minor"/>
      </rPr>
      <t>Client:-</t>
    </r>
    <r>
      <rPr>
        <sz val="16"/>
        <color theme="1"/>
        <rFont val="Calibri"/>
        <charset val="134"/>
        <scheme val="minor"/>
      </rPr>
      <t xml:space="preserve"> CD-2 (ADB) PWD Nainital                                                                                      </t>
    </r>
    <r>
      <rPr>
        <b/>
        <sz val="16"/>
        <color theme="1"/>
        <rFont val="Calibri"/>
        <charset val="134"/>
        <scheme val="minor"/>
      </rPr>
      <t>Company:-</t>
    </r>
    <r>
      <rPr>
        <sz val="16"/>
        <color theme="1"/>
        <rFont val="Calibri"/>
        <charset val="134"/>
        <scheme val="minor"/>
      </rPr>
      <t xml:space="preserve"> M/S Laxmi Datt Binwal                </t>
    </r>
  </si>
  <si>
    <r>
      <rPr>
        <b/>
        <sz val="12"/>
        <color theme="1"/>
        <rFont val="Calibri"/>
        <charset val="134"/>
        <scheme val="minor"/>
      </rPr>
      <t xml:space="preserve">Name of Work:- </t>
    </r>
    <r>
      <rPr>
        <sz val="12"/>
        <color theme="1"/>
        <rFont val="Calibri"/>
        <charset val="134"/>
        <scheme val="minor"/>
      </rPr>
      <t>Construction of  120 M  span double lane RCC Prestress Concrete Bridge over Shernala at km 82 Ramnagar- Kaladhungi- Chorgaliya- Sitarganj- Bisti Motar Road</t>
    </r>
  </si>
  <si>
    <t>Sr No</t>
  </si>
  <si>
    <t>per day
Wage</t>
  </si>
  <si>
    <t>No.of
Working
Days</t>
  </si>
  <si>
    <t>OT in
Hours</t>
  </si>
  <si>
    <t>OT in
Rate</t>
  </si>
  <si>
    <t>Total OT
(in Rs)</t>
  </si>
  <si>
    <t>Leaves</t>
  </si>
  <si>
    <t>Off Days</t>
  </si>
  <si>
    <t>Total
Wage</t>
  </si>
  <si>
    <t>Advance
Payment</t>
  </si>
  <si>
    <t>Final
Amount
Paid</t>
  </si>
  <si>
    <t>Remark</t>
  </si>
  <si>
    <t>Labour/Skilled</t>
  </si>
  <si>
    <t>Ramesh</t>
  </si>
  <si>
    <t>Chandan</t>
  </si>
  <si>
    <t>Kishan</t>
  </si>
  <si>
    <t>Vicky Lal</t>
  </si>
  <si>
    <t>Vijay</t>
  </si>
  <si>
    <t>WAGES DETAILS</t>
  </si>
  <si>
    <t>Gopal</t>
  </si>
  <si>
    <t>Bholu</t>
  </si>
  <si>
    <t>Jaswant</t>
  </si>
  <si>
    <t>Sunny</t>
  </si>
  <si>
    <t>Lalu</t>
  </si>
  <si>
    <t>Vinod</t>
  </si>
  <si>
    <t>Mukesh</t>
  </si>
  <si>
    <t>Ajay</t>
  </si>
  <si>
    <t>Bhopal Ram</t>
  </si>
  <si>
    <t>Kavi Raj</t>
  </si>
  <si>
    <t>Vinod 2</t>
  </si>
  <si>
    <t>Bansi</t>
  </si>
  <si>
    <t>Laxmi</t>
  </si>
  <si>
    <t>Rajesh</t>
  </si>
  <si>
    <t>Bhuvan Singh</t>
  </si>
  <si>
    <t>Harish</t>
  </si>
  <si>
    <t>Khadku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</si>
</sst>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0" fillId="0" borderId="7" xfId="0" applyBorder="1"/>
    <xf numFmtId="0" fontId="8" fillId="3" borderId="6" xfId="0" applyFont="1" applyFill="1" applyBorder="1" applyAlignment="1">
      <alignment horizontal="center"/>
    </xf>
    <xf numFmtId="17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0" fillId="0" borderId="0" xfId="0" applyBorder="1"/>
    <xf numFmtId="0" fontId="11" fillId="2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" fontId="15" fillId="3" borderId="4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L27" sqref="L27"/>
    </sheetView>
  </sheetViews>
  <sheetFormatPr defaultColWidth="13.42578125" defaultRowHeight="15"/>
  <cols>
    <col min="2" max="2" width="15.7109375" customWidth="1"/>
    <col min="3" max="3" width="18.5703125" customWidth="1"/>
    <col min="4" max="14" width="11.42578125" customWidth="1"/>
  </cols>
  <sheetData>
    <row r="1" spans="1:15" ht="26.25">
      <c r="A1" s="13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  <c r="O1" s="7"/>
    </row>
    <row r="2" spans="1:15" ht="22.5" customHeight="1">
      <c r="A2" s="16" t="s">
        <v>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</row>
    <row r="3" spans="1:15" ht="22.5" customHeight="1">
      <c r="A3" s="19" t="s">
        <v>6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1:15" ht="18.75" customHeight="1">
      <c r="A4" s="2"/>
      <c r="B4" s="3"/>
      <c r="C4" s="4"/>
      <c r="D4" s="10">
        <v>45931</v>
      </c>
      <c r="E4" s="11"/>
      <c r="F4" s="11"/>
      <c r="G4" s="11"/>
      <c r="H4" s="11"/>
      <c r="I4" s="11"/>
      <c r="J4" s="11"/>
      <c r="K4" s="11"/>
      <c r="L4" s="11"/>
      <c r="M4" s="11"/>
      <c r="N4" s="12"/>
    </row>
    <row r="5" spans="1:15" ht="47.25" customHeight="1">
      <c r="A5" s="5" t="s">
        <v>7</v>
      </c>
      <c r="B5" s="5" t="s">
        <v>0</v>
      </c>
      <c r="C5" s="5" t="s">
        <v>1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5" t="s">
        <v>13</v>
      </c>
      <c r="J5" s="5" t="s">
        <v>14</v>
      </c>
      <c r="K5" s="8" t="s">
        <v>15</v>
      </c>
      <c r="L5" s="8" t="s">
        <v>16</v>
      </c>
      <c r="M5" s="8" t="s">
        <v>17</v>
      </c>
      <c r="N5" s="5" t="s">
        <v>18</v>
      </c>
      <c r="O5" s="1"/>
    </row>
    <row r="6" spans="1:15">
      <c r="A6" s="9">
        <v>1</v>
      </c>
      <c r="B6" s="22" t="s">
        <v>21</v>
      </c>
      <c r="C6" s="22" t="s">
        <v>19</v>
      </c>
      <c r="D6" s="6">
        <v>800</v>
      </c>
      <c r="E6" s="22">
        <v>16</v>
      </c>
      <c r="F6" s="22">
        <v>1</v>
      </c>
      <c r="G6" s="6">
        <v>150</v>
      </c>
      <c r="H6" s="6">
        <f>F6*G6</f>
        <v>150</v>
      </c>
      <c r="I6" s="22">
        <v>0</v>
      </c>
      <c r="J6" s="22">
        <v>3</v>
      </c>
      <c r="K6" s="6">
        <f>(E6+J6)*D6+H6</f>
        <v>15350</v>
      </c>
      <c r="L6" s="6">
        <v>2500</v>
      </c>
      <c r="M6" s="6">
        <f>K6-L6</f>
        <v>12850</v>
      </c>
      <c r="N6" s="6" t="s">
        <v>3</v>
      </c>
    </row>
    <row r="7" spans="1:15">
      <c r="A7" s="9">
        <v>2</v>
      </c>
      <c r="B7" s="22" t="s">
        <v>26</v>
      </c>
      <c r="C7" s="22" t="s">
        <v>4</v>
      </c>
      <c r="D7" s="6">
        <v>600</v>
      </c>
      <c r="E7" s="22">
        <v>13</v>
      </c>
      <c r="F7" s="22">
        <v>3</v>
      </c>
      <c r="G7" s="6">
        <v>130</v>
      </c>
      <c r="H7" s="6">
        <f>F7*G7</f>
        <v>390</v>
      </c>
      <c r="I7" s="22">
        <v>0</v>
      </c>
      <c r="J7" s="22">
        <v>2</v>
      </c>
      <c r="K7" s="6">
        <f t="shared" ref="K7:K27" si="0">(E7+J7)*D7+H7</f>
        <v>9390</v>
      </c>
      <c r="L7" s="6">
        <v>900</v>
      </c>
      <c r="M7" s="6">
        <f t="shared" ref="M7:M27" si="1">K7-L7</f>
        <v>8490</v>
      </c>
      <c r="N7" s="6" t="s">
        <v>3</v>
      </c>
      <c r="O7" s="7"/>
    </row>
    <row r="8" spans="1:15">
      <c r="A8" s="9">
        <v>3</v>
      </c>
      <c r="B8" s="22" t="s">
        <v>24</v>
      </c>
      <c r="C8" s="27" t="s">
        <v>2</v>
      </c>
      <c r="D8" s="6">
        <v>700</v>
      </c>
      <c r="E8" s="22">
        <v>13</v>
      </c>
      <c r="F8" s="22">
        <v>4</v>
      </c>
      <c r="G8" s="6">
        <v>140</v>
      </c>
      <c r="H8" s="6">
        <f>F8*G8</f>
        <v>560</v>
      </c>
      <c r="I8" s="22">
        <v>0</v>
      </c>
      <c r="J8" s="22">
        <v>2</v>
      </c>
      <c r="K8" s="6">
        <f t="shared" si="0"/>
        <v>11060</v>
      </c>
      <c r="L8" s="6">
        <v>1250</v>
      </c>
      <c r="M8" s="6">
        <f t="shared" si="1"/>
        <v>9810</v>
      </c>
      <c r="N8" s="6" t="s">
        <v>3</v>
      </c>
      <c r="O8" s="7"/>
    </row>
    <row r="9" spans="1:15">
      <c r="A9" s="9">
        <v>4</v>
      </c>
      <c r="B9" s="22" t="s">
        <v>22</v>
      </c>
      <c r="C9" s="27" t="s">
        <v>2</v>
      </c>
      <c r="D9" s="6">
        <v>700</v>
      </c>
      <c r="E9" s="22">
        <v>13</v>
      </c>
      <c r="F9" s="22">
        <v>3</v>
      </c>
      <c r="G9" s="6">
        <v>140</v>
      </c>
      <c r="H9" s="6">
        <f t="shared" ref="H9:H20" si="2">F9*G9</f>
        <v>420</v>
      </c>
      <c r="I9" s="22">
        <v>0</v>
      </c>
      <c r="J9" s="22">
        <v>2</v>
      </c>
      <c r="K9" s="6">
        <f t="shared" si="0"/>
        <v>10920</v>
      </c>
      <c r="L9" s="6">
        <v>1000</v>
      </c>
      <c r="M9" s="6">
        <f t="shared" si="1"/>
        <v>9920</v>
      </c>
      <c r="N9" s="6" t="s">
        <v>3</v>
      </c>
      <c r="O9" s="7"/>
    </row>
    <row r="10" spans="1:15">
      <c r="A10" s="9">
        <v>5</v>
      </c>
      <c r="B10" s="23" t="s">
        <v>27</v>
      </c>
      <c r="C10" s="24" t="s">
        <v>4</v>
      </c>
      <c r="D10" s="6">
        <v>600</v>
      </c>
      <c r="E10" s="22">
        <v>17</v>
      </c>
      <c r="F10" s="22">
        <v>4</v>
      </c>
      <c r="G10" s="6">
        <v>130</v>
      </c>
      <c r="H10" s="6">
        <f t="shared" si="2"/>
        <v>520</v>
      </c>
      <c r="I10" s="22">
        <v>0</v>
      </c>
      <c r="J10" s="22">
        <v>2</v>
      </c>
      <c r="K10" s="6">
        <f t="shared" si="0"/>
        <v>11920</v>
      </c>
      <c r="L10" s="6">
        <v>1250</v>
      </c>
      <c r="M10" s="6">
        <f t="shared" si="1"/>
        <v>10670</v>
      </c>
      <c r="N10" s="6" t="s">
        <v>3</v>
      </c>
    </row>
    <row r="11" spans="1:15">
      <c r="A11" s="9">
        <v>6</v>
      </c>
      <c r="B11" s="24" t="s">
        <v>23</v>
      </c>
      <c r="C11" s="25" t="s">
        <v>2</v>
      </c>
      <c r="D11" s="6">
        <v>700</v>
      </c>
      <c r="E11" s="22">
        <v>17</v>
      </c>
      <c r="F11" s="22">
        <v>4</v>
      </c>
      <c r="G11" s="6">
        <v>140</v>
      </c>
      <c r="H11" s="6">
        <f t="shared" si="2"/>
        <v>560</v>
      </c>
      <c r="I11" s="22">
        <v>0</v>
      </c>
      <c r="J11" s="22">
        <v>2</v>
      </c>
      <c r="K11" s="6">
        <f t="shared" si="0"/>
        <v>13860</v>
      </c>
      <c r="L11" s="6">
        <v>1500</v>
      </c>
      <c r="M11" s="6">
        <f t="shared" si="1"/>
        <v>12360</v>
      </c>
      <c r="N11" s="6" t="s">
        <v>3</v>
      </c>
    </row>
    <row r="12" spans="1:15">
      <c r="A12" s="9">
        <v>7</v>
      </c>
      <c r="B12" s="25" t="s">
        <v>28</v>
      </c>
      <c r="C12" s="25" t="s">
        <v>19</v>
      </c>
      <c r="D12" s="6">
        <v>800</v>
      </c>
      <c r="E12" s="22">
        <v>13</v>
      </c>
      <c r="F12" s="22">
        <v>4</v>
      </c>
      <c r="G12" s="6">
        <v>150</v>
      </c>
      <c r="H12" s="6">
        <f t="shared" si="2"/>
        <v>600</v>
      </c>
      <c r="I12" s="22">
        <v>0</v>
      </c>
      <c r="J12" s="22">
        <v>2</v>
      </c>
      <c r="K12" s="6">
        <f t="shared" si="0"/>
        <v>12600</v>
      </c>
      <c r="L12" s="6">
        <v>1000</v>
      </c>
      <c r="M12" s="6">
        <f t="shared" si="1"/>
        <v>11600</v>
      </c>
      <c r="N12" s="6" t="s">
        <v>3</v>
      </c>
    </row>
    <row r="13" spans="1:15">
      <c r="A13" s="9">
        <v>8</v>
      </c>
      <c r="B13" s="22" t="s">
        <v>29</v>
      </c>
      <c r="C13" s="27" t="s">
        <v>4</v>
      </c>
      <c r="D13" s="6">
        <v>600</v>
      </c>
      <c r="E13" s="22">
        <v>13</v>
      </c>
      <c r="F13" s="22">
        <v>4</v>
      </c>
      <c r="G13" s="6">
        <v>130</v>
      </c>
      <c r="H13" s="6">
        <f t="shared" si="2"/>
        <v>520</v>
      </c>
      <c r="I13" s="22">
        <v>0</v>
      </c>
      <c r="J13" s="22">
        <v>2</v>
      </c>
      <c r="K13" s="6">
        <f t="shared" si="0"/>
        <v>9520</v>
      </c>
      <c r="L13" s="6">
        <v>1000</v>
      </c>
      <c r="M13" s="6">
        <f t="shared" si="1"/>
        <v>8520</v>
      </c>
      <c r="N13" s="6" t="s">
        <v>3</v>
      </c>
    </row>
    <row r="14" spans="1:15">
      <c r="A14" s="9">
        <v>9</v>
      </c>
      <c r="B14" s="25" t="s">
        <v>30</v>
      </c>
      <c r="C14" s="28" t="s">
        <v>4</v>
      </c>
      <c r="D14" s="6">
        <v>600</v>
      </c>
      <c r="E14" s="22">
        <v>13</v>
      </c>
      <c r="F14" s="22">
        <v>4</v>
      </c>
      <c r="G14" s="6">
        <v>130</v>
      </c>
      <c r="H14" s="6">
        <f t="shared" si="2"/>
        <v>520</v>
      </c>
      <c r="I14" s="22">
        <v>0</v>
      </c>
      <c r="J14" s="22">
        <v>2</v>
      </c>
      <c r="K14" s="6">
        <f t="shared" si="0"/>
        <v>9520</v>
      </c>
      <c r="L14" s="6">
        <v>1000</v>
      </c>
      <c r="M14" s="6">
        <f t="shared" si="1"/>
        <v>8520</v>
      </c>
      <c r="N14" s="6" t="s">
        <v>3</v>
      </c>
    </row>
    <row r="15" spans="1:15">
      <c r="A15" s="9">
        <v>10</v>
      </c>
      <c r="B15" s="22" t="s">
        <v>31</v>
      </c>
      <c r="C15" s="27" t="s">
        <v>4</v>
      </c>
      <c r="D15" s="6">
        <v>600</v>
      </c>
      <c r="E15" s="22">
        <v>13</v>
      </c>
      <c r="F15" s="22">
        <v>4</v>
      </c>
      <c r="G15" s="6">
        <v>130</v>
      </c>
      <c r="H15" s="6">
        <f t="shared" si="2"/>
        <v>520</v>
      </c>
      <c r="I15" s="22">
        <v>0</v>
      </c>
      <c r="J15" s="22">
        <v>2</v>
      </c>
      <c r="K15" s="6">
        <f t="shared" si="0"/>
        <v>9520</v>
      </c>
      <c r="L15" s="6">
        <v>1000</v>
      </c>
      <c r="M15" s="6">
        <f t="shared" si="1"/>
        <v>8520</v>
      </c>
      <c r="N15" s="6" t="s">
        <v>3</v>
      </c>
    </row>
    <row r="16" spans="1:15">
      <c r="A16" s="9">
        <v>11</v>
      </c>
      <c r="B16" s="23" t="s">
        <v>20</v>
      </c>
      <c r="C16" s="22" t="s">
        <v>19</v>
      </c>
      <c r="D16" s="6">
        <v>800</v>
      </c>
      <c r="E16" s="22">
        <v>13</v>
      </c>
      <c r="F16" s="22">
        <v>4</v>
      </c>
      <c r="G16" s="6">
        <v>150</v>
      </c>
      <c r="H16" s="6">
        <f t="shared" si="2"/>
        <v>600</v>
      </c>
      <c r="I16" s="22">
        <v>0</v>
      </c>
      <c r="J16" s="22">
        <v>2</v>
      </c>
      <c r="K16" s="6">
        <f t="shared" si="0"/>
        <v>12600</v>
      </c>
      <c r="L16" s="6">
        <v>1250</v>
      </c>
      <c r="M16" s="6">
        <f t="shared" si="1"/>
        <v>11350</v>
      </c>
      <c r="N16" s="6" t="s">
        <v>3</v>
      </c>
    </row>
    <row r="17" spans="1:14">
      <c r="A17" s="9">
        <v>12</v>
      </c>
      <c r="B17" s="25" t="s">
        <v>32</v>
      </c>
      <c r="C17" s="28" t="s">
        <v>4</v>
      </c>
      <c r="D17" s="6">
        <v>600</v>
      </c>
      <c r="E17" s="22">
        <v>13</v>
      </c>
      <c r="F17" s="22">
        <v>4</v>
      </c>
      <c r="G17" s="6">
        <v>130</v>
      </c>
      <c r="H17" s="6">
        <f t="shared" si="2"/>
        <v>520</v>
      </c>
      <c r="I17" s="22">
        <v>0</v>
      </c>
      <c r="J17" s="22">
        <v>2</v>
      </c>
      <c r="K17" s="6">
        <f t="shared" si="0"/>
        <v>9520</v>
      </c>
      <c r="L17" s="6">
        <v>1000</v>
      </c>
      <c r="M17" s="6">
        <f t="shared" si="1"/>
        <v>8520</v>
      </c>
      <c r="N17" s="6" t="s">
        <v>3</v>
      </c>
    </row>
    <row r="18" spans="1:14">
      <c r="A18" s="9">
        <v>13</v>
      </c>
      <c r="B18" s="22" t="s">
        <v>33</v>
      </c>
      <c r="C18" s="27" t="s">
        <v>19</v>
      </c>
      <c r="D18" s="6">
        <v>800</v>
      </c>
      <c r="E18" s="22">
        <v>16</v>
      </c>
      <c r="F18" s="22">
        <v>4</v>
      </c>
      <c r="G18" s="6">
        <v>150</v>
      </c>
      <c r="H18" s="6">
        <f t="shared" si="2"/>
        <v>600</v>
      </c>
      <c r="I18" s="22">
        <v>0</v>
      </c>
      <c r="J18" s="22">
        <v>3</v>
      </c>
      <c r="K18" s="6">
        <f t="shared" si="0"/>
        <v>15800</v>
      </c>
      <c r="L18" s="6">
        <v>2500</v>
      </c>
      <c r="M18" s="6">
        <f t="shared" si="1"/>
        <v>13300</v>
      </c>
      <c r="N18" s="6" t="s">
        <v>3</v>
      </c>
    </row>
    <row r="19" spans="1:14">
      <c r="A19" s="9">
        <v>14</v>
      </c>
      <c r="B19" s="26" t="s">
        <v>34</v>
      </c>
      <c r="C19" s="29" t="s">
        <v>4</v>
      </c>
      <c r="D19" s="6">
        <v>600</v>
      </c>
      <c r="E19" s="22">
        <v>22</v>
      </c>
      <c r="F19" s="22">
        <v>5</v>
      </c>
      <c r="G19" s="6">
        <v>130</v>
      </c>
      <c r="H19" s="6">
        <f t="shared" si="2"/>
        <v>650</v>
      </c>
      <c r="I19" s="22">
        <v>0</v>
      </c>
      <c r="J19" s="22">
        <v>2</v>
      </c>
      <c r="K19" s="6">
        <f t="shared" si="0"/>
        <v>15050</v>
      </c>
      <c r="L19" s="6">
        <v>2500</v>
      </c>
      <c r="M19" s="6">
        <f t="shared" si="1"/>
        <v>12550</v>
      </c>
      <c r="N19" s="6" t="s">
        <v>3</v>
      </c>
    </row>
    <row r="20" spans="1:14">
      <c r="A20" s="9">
        <v>15</v>
      </c>
      <c r="B20" s="22" t="s">
        <v>35</v>
      </c>
      <c r="C20" s="27" t="s">
        <v>2</v>
      </c>
      <c r="D20" s="6">
        <v>700</v>
      </c>
      <c r="E20" s="22">
        <v>22</v>
      </c>
      <c r="F20" s="22">
        <v>4</v>
      </c>
      <c r="G20" s="6">
        <v>140</v>
      </c>
      <c r="H20" s="6">
        <f t="shared" si="2"/>
        <v>560</v>
      </c>
      <c r="I20" s="22">
        <v>0</v>
      </c>
      <c r="J20" s="22">
        <v>2</v>
      </c>
      <c r="K20" s="6">
        <f t="shared" si="0"/>
        <v>17360</v>
      </c>
      <c r="L20" s="6">
        <v>3000</v>
      </c>
      <c r="M20" s="6">
        <f t="shared" si="1"/>
        <v>14360</v>
      </c>
      <c r="N20" s="6" t="s">
        <v>3</v>
      </c>
    </row>
    <row r="21" spans="1:14">
      <c r="A21" s="9">
        <v>16</v>
      </c>
      <c r="B21" s="26" t="s">
        <v>36</v>
      </c>
      <c r="C21" s="29" t="s">
        <v>4</v>
      </c>
      <c r="D21" s="6">
        <v>600</v>
      </c>
      <c r="E21" s="22">
        <v>22</v>
      </c>
      <c r="F21" s="22">
        <v>5</v>
      </c>
      <c r="G21" s="6">
        <v>130</v>
      </c>
      <c r="H21" s="6">
        <f t="shared" ref="H21:H25" si="3">F21*G21</f>
        <v>650</v>
      </c>
      <c r="I21" s="22">
        <v>0</v>
      </c>
      <c r="J21" s="22">
        <v>2</v>
      </c>
      <c r="K21" s="6">
        <f t="shared" si="0"/>
        <v>15050</v>
      </c>
      <c r="L21" s="6">
        <v>2500</v>
      </c>
      <c r="M21" s="6">
        <f t="shared" si="1"/>
        <v>12550</v>
      </c>
      <c r="N21" s="6" t="s">
        <v>3</v>
      </c>
    </row>
    <row r="22" spans="1:14">
      <c r="A22" s="9">
        <v>17</v>
      </c>
      <c r="B22" s="25" t="s">
        <v>37</v>
      </c>
      <c r="C22" s="29" t="s">
        <v>4</v>
      </c>
      <c r="D22" s="6">
        <v>600</v>
      </c>
      <c r="E22" s="22">
        <v>22</v>
      </c>
      <c r="F22" s="22">
        <v>2</v>
      </c>
      <c r="G22" s="6">
        <v>130</v>
      </c>
      <c r="H22" s="6">
        <f t="shared" si="3"/>
        <v>260</v>
      </c>
      <c r="I22" s="22">
        <v>0</v>
      </c>
      <c r="J22" s="22">
        <v>2</v>
      </c>
      <c r="K22" s="6">
        <f t="shared" si="0"/>
        <v>14660</v>
      </c>
      <c r="L22" s="6">
        <v>2500</v>
      </c>
      <c r="M22" s="6">
        <f t="shared" si="1"/>
        <v>12160</v>
      </c>
      <c r="N22" s="6" t="s">
        <v>3</v>
      </c>
    </row>
    <row r="23" spans="1:14">
      <c r="A23" s="9">
        <v>18</v>
      </c>
      <c r="B23" s="22" t="s">
        <v>38</v>
      </c>
      <c r="C23" s="29" t="s">
        <v>4</v>
      </c>
      <c r="D23" s="6">
        <v>600</v>
      </c>
      <c r="E23" s="22">
        <v>22</v>
      </c>
      <c r="F23" s="22">
        <v>5</v>
      </c>
      <c r="G23" s="6">
        <v>130</v>
      </c>
      <c r="H23" s="6">
        <f t="shared" si="3"/>
        <v>650</v>
      </c>
      <c r="I23" s="22">
        <v>0</v>
      </c>
      <c r="J23" s="22">
        <v>2</v>
      </c>
      <c r="K23" s="6">
        <f t="shared" si="0"/>
        <v>15050</v>
      </c>
      <c r="L23" s="6">
        <v>2500</v>
      </c>
      <c r="M23" s="6">
        <f t="shared" si="1"/>
        <v>12550</v>
      </c>
      <c r="N23" s="6" t="s">
        <v>3</v>
      </c>
    </row>
    <row r="24" spans="1:14">
      <c r="A24" s="9">
        <v>19</v>
      </c>
      <c r="B24" s="23" t="s">
        <v>39</v>
      </c>
      <c r="C24" s="25" t="s">
        <v>19</v>
      </c>
      <c r="D24" s="6">
        <v>800</v>
      </c>
      <c r="E24" s="22">
        <v>22</v>
      </c>
      <c r="F24" s="22">
        <v>5</v>
      </c>
      <c r="G24" s="6">
        <v>150</v>
      </c>
      <c r="H24" s="6">
        <f t="shared" si="3"/>
        <v>750</v>
      </c>
      <c r="I24" s="22">
        <v>0</v>
      </c>
      <c r="J24" s="22">
        <v>2</v>
      </c>
      <c r="K24" s="6">
        <f t="shared" si="0"/>
        <v>19950</v>
      </c>
      <c r="L24" s="6">
        <v>3000</v>
      </c>
      <c r="M24" s="6">
        <f t="shared" si="1"/>
        <v>16950</v>
      </c>
      <c r="N24" s="6" t="s">
        <v>3</v>
      </c>
    </row>
    <row r="25" spans="1:14">
      <c r="A25" s="9">
        <v>20</v>
      </c>
      <c r="B25" s="26" t="s">
        <v>40</v>
      </c>
      <c r="C25" s="25" t="s">
        <v>19</v>
      </c>
      <c r="D25" s="6">
        <v>800</v>
      </c>
      <c r="E25" s="22">
        <v>22</v>
      </c>
      <c r="F25" s="22">
        <v>5</v>
      </c>
      <c r="G25" s="6">
        <v>150</v>
      </c>
      <c r="H25" s="6">
        <f t="shared" si="3"/>
        <v>750</v>
      </c>
      <c r="I25" s="22">
        <v>0</v>
      </c>
      <c r="J25" s="22">
        <v>2</v>
      </c>
      <c r="K25" s="6">
        <f t="shared" si="0"/>
        <v>19950</v>
      </c>
      <c r="L25" s="6">
        <v>3000</v>
      </c>
      <c r="M25" s="6">
        <f t="shared" si="1"/>
        <v>16950</v>
      </c>
      <c r="N25" s="6" t="s">
        <v>3</v>
      </c>
    </row>
    <row r="26" spans="1:14">
      <c r="A26" s="9">
        <v>21</v>
      </c>
      <c r="B26" s="22" t="s">
        <v>41</v>
      </c>
      <c r="C26" s="27" t="s">
        <v>4</v>
      </c>
      <c r="D26" s="6">
        <v>600</v>
      </c>
      <c r="E26" s="22">
        <v>22</v>
      </c>
      <c r="F26" s="22">
        <v>5</v>
      </c>
      <c r="G26" s="6">
        <v>130</v>
      </c>
      <c r="H26" s="6">
        <f>F26*G26</f>
        <v>650</v>
      </c>
      <c r="I26" s="22">
        <v>0</v>
      </c>
      <c r="J26" s="22">
        <v>2</v>
      </c>
      <c r="K26" s="6">
        <f t="shared" si="0"/>
        <v>15050</v>
      </c>
      <c r="L26" s="6">
        <v>2500</v>
      </c>
      <c r="M26" s="6">
        <f t="shared" si="1"/>
        <v>12550</v>
      </c>
      <c r="N26" s="6" t="s">
        <v>3</v>
      </c>
    </row>
    <row r="27" spans="1:14">
      <c r="A27" s="9">
        <v>22</v>
      </c>
      <c r="B27" s="22" t="s">
        <v>42</v>
      </c>
      <c r="C27" s="27" t="s">
        <v>4</v>
      </c>
      <c r="D27" s="6">
        <v>600</v>
      </c>
      <c r="E27" s="22">
        <v>22</v>
      </c>
      <c r="F27" s="22">
        <v>5</v>
      </c>
      <c r="G27" s="6">
        <v>130</v>
      </c>
      <c r="H27" s="6">
        <f>F27*G27</f>
        <v>650</v>
      </c>
      <c r="I27" s="22">
        <v>0</v>
      </c>
      <c r="J27" s="22">
        <v>2</v>
      </c>
      <c r="K27" s="6">
        <f t="shared" si="0"/>
        <v>15050</v>
      </c>
      <c r="L27" s="6">
        <v>2500</v>
      </c>
      <c r="M27" s="6">
        <f t="shared" si="1"/>
        <v>12550</v>
      </c>
      <c r="N27" s="6" t="s">
        <v>3</v>
      </c>
    </row>
  </sheetData>
  <mergeCells count="4">
    <mergeCell ref="D4:N4"/>
    <mergeCell ref="A1:N1"/>
    <mergeCell ref="A2:N2"/>
    <mergeCell ref="A3:N3"/>
  </mergeCells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Himanshu Sharma</cp:lastModifiedBy>
  <cp:lastPrinted>2025-09-28T18:36:05Z</cp:lastPrinted>
  <dcterms:created xsi:type="dcterms:W3CDTF">2025-09-01T08:59:00Z</dcterms:created>
  <dcterms:modified xsi:type="dcterms:W3CDTF">2025-11-10T10:57:02Z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654F4482EB1C440D91D34938D6D6377A_12</vt:lpwstr>
  </property>
  <property fmtid="{D5CDD505-2E9C-101B-9397-08002B2CF9AE}" pid="3" name="KSOProductBuildVer">
    <vt:lpwstr>1033-12.2.0.21546</vt:lpwstr>
  </property>
</Properties>
</file>