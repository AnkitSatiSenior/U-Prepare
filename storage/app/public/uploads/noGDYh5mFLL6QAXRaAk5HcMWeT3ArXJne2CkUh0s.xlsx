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25" windowHeight="1015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1"/>
  <c r="M18" s="1"/>
  <c r="H18"/>
  <c r="H17"/>
  <c r="K17" s="1"/>
  <c r="M17" s="1"/>
  <c r="K16"/>
  <c r="M16" s="1"/>
  <c r="H16"/>
  <c r="H15"/>
  <c r="K15" s="1"/>
  <c r="M15" s="1"/>
  <c r="K14"/>
  <c r="M14" s="1"/>
  <c r="H14"/>
  <c r="H13"/>
  <c r="K13" s="1"/>
  <c r="M13" s="1"/>
  <c r="K12"/>
  <c r="M12" s="1"/>
  <c r="H12"/>
  <c r="H11"/>
  <c r="K11" s="1"/>
  <c r="M11" s="1"/>
  <c r="K10"/>
  <c r="M10" s="1"/>
  <c r="H10"/>
  <c r="H9"/>
  <c r="K9" s="1"/>
  <c r="M9" s="1"/>
  <c r="K8"/>
  <c r="M8" s="1"/>
  <c r="H8"/>
  <c r="H7"/>
  <c r="K7" s="1"/>
  <c r="M7" s="1"/>
</calcChain>
</file>

<file path=xl/sharedStrings.xml><?xml version="1.0" encoding="utf-8"?>
<sst xmlns="http://schemas.openxmlformats.org/spreadsheetml/2006/main" count="42" uniqueCount="33">
  <si>
    <t xml:space="preserve">Wages Details </t>
  </si>
  <si>
    <r>
      <rPr>
        <sz val="16"/>
        <color theme="1"/>
        <rFont val="Calibri"/>
        <charset val="134"/>
        <scheme val="minor"/>
      </rPr>
      <t xml:space="preserve">  </t>
    </r>
    <r>
      <rPr>
        <b/>
        <sz val="16"/>
        <color theme="1"/>
        <rFont val="Calibri"/>
        <charset val="134"/>
        <scheme val="minor"/>
      </rPr>
      <t>Client:-</t>
    </r>
    <r>
      <rPr>
        <sz val="16"/>
        <color theme="1"/>
        <rFont val="Calibri"/>
        <charset val="134"/>
        <scheme val="minor"/>
      </rPr>
      <t xml:space="preserve"> CD-2 (ADB) P.W.D. Nanital                                                                                      </t>
    </r>
    <r>
      <rPr>
        <b/>
        <sz val="16"/>
        <color theme="1"/>
        <rFont val="Calibri"/>
        <charset val="134"/>
        <scheme val="minor"/>
      </rPr>
      <t>Company:-</t>
    </r>
    <r>
      <rPr>
        <sz val="16"/>
        <color theme="1"/>
        <rFont val="Calibri"/>
        <charset val="134"/>
        <scheme val="minor"/>
      </rPr>
      <t xml:space="preserve"> M/S Laxmi Datt Binwal                </t>
    </r>
  </si>
  <si>
    <r>
      <rPr>
        <b/>
        <sz val="12"/>
        <color theme="1"/>
        <rFont val="Calibri"/>
        <charset val="134"/>
        <scheme val="minor"/>
      </rPr>
      <t>Name of Work:-</t>
    </r>
    <r>
      <rPr>
        <sz val="12"/>
        <color theme="1"/>
        <rFont val="Calibri"/>
        <charset val="134"/>
        <scheme val="minor"/>
      </rPr>
      <t>Construction of  120 M  span double lane R.C.C Prestress concrete Bridge over shernala at km 82 Ramnagar- Kaladhungi- Chorgaliya- Sitarganj- Bisti Motar Road</t>
    </r>
  </si>
  <si>
    <t>No. of Days</t>
  </si>
  <si>
    <t xml:space="preserve">S. NO. </t>
  </si>
  <si>
    <t>Name of Labour</t>
  </si>
  <si>
    <t>Designation</t>
  </si>
  <si>
    <t>Per Day Wage</t>
  </si>
  <si>
    <t>No. of Working Days</t>
  </si>
  <si>
    <t>OT in Hours</t>
  </si>
  <si>
    <t>OT in Rate</t>
  </si>
  <si>
    <t>Total OT
(In Rs.)</t>
  </si>
  <si>
    <t>Leaves</t>
  </si>
  <si>
    <t>Off Days</t>
  </si>
  <si>
    <t>Total wage</t>
  </si>
  <si>
    <t>Advance Payment</t>
  </si>
  <si>
    <t>Final Amount Paid</t>
  </si>
  <si>
    <t>Remark</t>
  </si>
  <si>
    <t>Ajay Rajbhar</t>
  </si>
  <si>
    <t>Labour/Skilled</t>
  </si>
  <si>
    <t>Ajay Lambu</t>
  </si>
  <si>
    <t>Vicky Lal</t>
  </si>
  <si>
    <t>Labour/Semi Skilled</t>
  </si>
  <si>
    <t>Manoj</t>
  </si>
  <si>
    <t>Labour/Unskilled</t>
  </si>
  <si>
    <t>Vijay Kalu</t>
  </si>
  <si>
    <t>Kishan</t>
  </si>
  <si>
    <t>Ramesh</t>
  </si>
  <si>
    <t>Bholu</t>
  </si>
  <si>
    <t>Gopal</t>
  </si>
  <si>
    <t xml:space="preserve">Vijay </t>
  </si>
  <si>
    <t>Chandan</t>
  </si>
  <si>
    <t>Mohit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</si>
</sst>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17" fontId="0" fillId="3" borderId="1" xfId="0" applyNumberForma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18"/>
  <sheetViews>
    <sheetView tabSelected="1" workbookViewId="0">
      <selection activeCell="K22" sqref="K22:K23"/>
    </sheetView>
  </sheetViews>
  <sheetFormatPr defaultColWidth="9" defaultRowHeight="15"/>
  <cols>
    <col min="1" max="1" width="6.85546875" style="1" customWidth="1"/>
    <col min="2" max="2" width="13" style="1" customWidth="1"/>
    <col min="3" max="3" width="17.5703125" style="1" customWidth="1"/>
    <col min="4" max="4" width="10.7109375" style="1" customWidth="1"/>
    <col min="5" max="5" width="12.5703125" style="1" customWidth="1"/>
    <col min="6" max="6" width="8.7109375" style="1" customWidth="1"/>
    <col min="7" max="8" width="8.28515625" style="1" customWidth="1"/>
    <col min="9" max="9" width="7" style="1" customWidth="1"/>
    <col min="10" max="10" width="8.42578125" style="1" customWidth="1"/>
    <col min="11" max="11" width="10.5703125" style="1" customWidth="1"/>
    <col min="12" max="12" width="11.140625" style="1" customWidth="1"/>
    <col min="13" max="13" width="13" style="1" customWidth="1"/>
    <col min="14" max="14" width="7.5703125" style="1" customWidth="1"/>
    <col min="15" max="16384" width="9" style="1"/>
  </cols>
  <sheetData>
    <row r="2" spans="1:14" ht="26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5.7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>
      <c r="A5" s="6"/>
      <c r="B5" s="7">
        <v>45925</v>
      </c>
      <c r="C5" s="6" t="s">
        <v>3</v>
      </c>
      <c r="D5" s="6">
        <v>30</v>
      </c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4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  <c r="M6" s="8" t="s">
        <v>16</v>
      </c>
      <c r="N6" s="8" t="s">
        <v>17</v>
      </c>
    </row>
    <row r="7" spans="1:14">
      <c r="A7" s="9">
        <v>1</v>
      </c>
      <c r="B7" s="9" t="s">
        <v>18</v>
      </c>
      <c r="C7" s="9" t="s">
        <v>19</v>
      </c>
      <c r="D7" s="9">
        <v>800</v>
      </c>
      <c r="E7" s="9">
        <v>24</v>
      </c>
      <c r="F7" s="9">
        <v>5</v>
      </c>
      <c r="G7" s="10">
        <v>150</v>
      </c>
      <c r="H7" s="9">
        <f>F7*G7</f>
        <v>750</v>
      </c>
      <c r="I7" s="9">
        <v>0</v>
      </c>
      <c r="J7" s="9">
        <v>2</v>
      </c>
      <c r="K7" s="11">
        <f>(J7+E7)*(D7)+H7</f>
        <v>21550</v>
      </c>
      <c r="L7" s="11">
        <v>3000</v>
      </c>
      <c r="M7" s="11">
        <f>K7-L7</f>
        <v>18550</v>
      </c>
      <c r="N7" s="9"/>
    </row>
    <row r="8" spans="1:14">
      <c r="A8" s="9">
        <v>2</v>
      </c>
      <c r="B8" s="9" t="s">
        <v>20</v>
      </c>
      <c r="C8" s="9" t="s">
        <v>19</v>
      </c>
      <c r="D8" s="9">
        <v>800</v>
      </c>
      <c r="E8" s="9">
        <v>14</v>
      </c>
      <c r="F8" s="9">
        <v>5</v>
      </c>
      <c r="G8" s="10">
        <v>150</v>
      </c>
      <c r="H8" s="9">
        <f t="shared" ref="H8:H18" si="0">F8*G8</f>
        <v>750</v>
      </c>
      <c r="I8" s="9">
        <v>1</v>
      </c>
      <c r="J8" s="9">
        <v>1</v>
      </c>
      <c r="K8" s="11">
        <f t="shared" ref="K8:K18" si="1">(J8+E8)*(D8)+H8</f>
        <v>12750</v>
      </c>
      <c r="L8" s="11">
        <v>2000</v>
      </c>
      <c r="M8" s="11">
        <f t="shared" ref="M8:M18" si="2">K8-L8</f>
        <v>10750</v>
      </c>
      <c r="N8" s="9"/>
    </row>
    <row r="9" spans="1:14" ht="30">
      <c r="A9" s="9">
        <v>3</v>
      </c>
      <c r="B9" s="9" t="s">
        <v>21</v>
      </c>
      <c r="C9" s="9" t="s">
        <v>22</v>
      </c>
      <c r="D9" s="9">
        <v>700</v>
      </c>
      <c r="E9" s="9">
        <v>22</v>
      </c>
      <c r="F9" s="9">
        <v>5</v>
      </c>
      <c r="G9" s="10">
        <v>140</v>
      </c>
      <c r="H9" s="9">
        <f t="shared" si="0"/>
        <v>700</v>
      </c>
      <c r="I9" s="9">
        <v>2</v>
      </c>
      <c r="J9" s="9">
        <v>2</v>
      </c>
      <c r="K9" s="11">
        <f t="shared" si="1"/>
        <v>17500</v>
      </c>
      <c r="L9" s="11">
        <v>3000</v>
      </c>
      <c r="M9" s="11">
        <f t="shared" si="2"/>
        <v>14500</v>
      </c>
      <c r="N9" s="9"/>
    </row>
    <row r="10" spans="1:14">
      <c r="A10" s="9">
        <v>4</v>
      </c>
      <c r="B10" s="9" t="s">
        <v>23</v>
      </c>
      <c r="C10" s="9" t="s">
        <v>24</v>
      </c>
      <c r="D10" s="9">
        <v>600</v>
      </c>
      <c r="E10" s="9">
        <v>21</v>
      </c>
      <c r="F10" s="9">
        <v>2</v>
      </c>
      <c r="G10" s="10">
        <v>130</v>
      </c>
      <c r="H10" s="9">
        <f t="shared" si="0"/>
        <v>260</v>
      </c>
      <c r="I10" s="9">
        <v>1</v>
      </c>
      <c r="J10" s="9">
        <v>2</v>
      </c>
      <c r="K10" s="11">
        <f t="shared" si="1"/>
        <v>14060</v>
      </c>
      <c r="L10" s="11">
        <v>3000</v>
      </c>
      <c r="M10" s="11">
        <f t="shared" si="2"/>
        <v>11060</v>
      </c>
      <c r="N10" s="9"/>
    </row>
    <row r="11" spans="1:14">
      <c r="A11" s="9">
        <v>5</v>
      </c>
      <c r="B11" s="9" t="s">
        <v>25</v>
      </c>
      <c r="C11" s="9" t="s">
        <v>19</v>
      </c>
      <c r="D11" s="9">
        <v>800</v>
      </c>
      <c r="E11" s="9">
        <v>21</v>
      </c>
      <c r="F11" s="9">
        <v>1</v>
      </c>
      <c r="G11" s="10">
        <v>150</v>
      </c>
      <c r="H11" s="9">
        <f t="shared" si="0"/>
        <v>150</v>
      </c>
      <c r="I11" s="9">
        <v>3</v>
      </c>
      <c r="J11" s="9">
        <v>2</v>
      </c>
      <c r="K11" s="11">
        <f t="shared" si="1"/>
        <v>18550</v>
      </c>
      <c r="L11" s="11">
        <v>3000</v>
      </c>
      <c r="M11" s="11">
        <f t="shared" si="2"/>
        <v>15550</v>
      </c>
      <c r="N11" s="9"/>
    </row>
    <row r="12" spans="1:14" ht="30">
      <c r="A12" s="9">
        <v>6</v>
      </c>
      <c r="B12" s="9" t="s">
        <v>26</v>
      </c>
      <c r="C12" s="9" t="s">
        <v>22</v>
      </c>
      <c r="D12" s="9">
        <v>700</v>
      </c>
      <c r="E12" s="9">
        <v>22</v>
      </c>
      <c r="F12" s="9">
        <v>3</v>
      </c>
      <c r="G12" s="10">
        <v>140</v>
      </c>
      <c r="H12" s="9">
        <f t="shared" si="0"/>
        <v>420</v>
      </c>
      <c r="I12" s="9">
        <v>2</v>
      </c>
      <c r="J12" s="9">
        <v>2</v>
      </c>
      <c r="K12" s="11">
        <f t="shared" si="1"/>
        <v>17220</v>
      </c>
      <c r="L12" s="11">
        <v>3000</v>
      </c>
      <c r="M12" s="11">
        <f t="shared" si="2"/>
        <v>14220</v>
      </c>
      <c r="N12" s="9"/>
    </row>
    <row r="13" spans="1:14" ht="30">
      <c r="A13" s="9">
        <v>7</v>
      </c>
      <c r="B13" s="9" t="s">
        <v>27</v>
      </c>
      <c r="C13" s="9" t="s">
        <v>22</v>
      </c>
      <c r="D13" s="9">
        <v>700</v>
      </c>
      <c r="E13" s="9">
        <v>10</v>
      </c>
      <c r="F13" s="9">
        <v>5</v>
      </c>
      <c r="G13" s="10">
        <v>140</v>
      </c>
      <c r="H13" s="9">
        <f t="shared" si="0"/>
        <v>700</v>
      </c>
      <c r="I13" s="9">
        <v>0</v>
      </c>
      <c r="J13" s="9">
        <v>1</v>
      </c>
      <c r="K13" s="11">
        <f t="shared" si="1"/>
        <v>8400</v>
      </c>
      <c r="L13" s="11">
        <v>1000</v>
      </c>
      <c r="M13" s="11">
        <f t="shared" si="2"/>
        <v>7400</v>
      </c>
      <c r="N13" s="10"/>
    </row>
    <row r="14" spans="1:14">
      <c r="A14" s="9">
        <v>8</v>
      </c>
      <c r="B14" s="9" t="s">
        <v>28</v>
      </c>
      <c r="C14" s="9" t="s">
        <v>24</v>
      </c>
      <c r="D14" s="9">
        <v>600</v>
      </c>
      <c r="E14" s="9">
        <v>19</v>
      </c>
      <c r="F14" s="9">
        <v>5</v>
      </c>
      <c r="G14" s="10">
        <v>130</v>
      </c>
      <c r="H14" s="9">
        <f t="shared" si="0"/>
        <v>650</v>
      </c>
      <c r="I14" s="9">
        <v>2</v>
      </c>
      <c r="J14" s="9">
        <v>1</v>
      </c>
      <c r="K14" s="11">
        <f t="shared" si="1"/>
        <v>12650</v>
      </c>
      <c r="L14" s="11">
        <v>2000</v>
      </c>
      <c r="M14" s="11">
        <f t="shared" si="2"/>
        <v>10650</v>
      </c>
      <c r="N14" s="10"/>
    </row>
    <row r="15" spans="1:14">
      <c r="A15" s="9">
        <v>9</v>
      </c>
      <c r="B15" s="9" t="s">
        <v>29</v>
      </c>
      <c r="C15" s="9" t="s">
        <v>24</v>
      </c>
      <c r="D15" s="9">
        <v>600</v>
      </c>
      <c r="E15" s="9">
        <v>18</v>
      </c>
      <c r="F15" s="9">
        <v>5</v>
      </c>
      <c r="G15" s="10">
        <v>130</v>
      </c>
      <c r="H15" s="9">
        <f t="shared" si="0"/>
        <v>650</v>
      </c>
      <c r="I15" s="9">
        <v>0</v>
      </c>
      <c r="J15" s="9">
        <v>1</v>
      </c>
      <c r="K15" s="11">
        <f t="shared" si="1"/>
        <v>12050</v>
      </c>
      <c r="L15" s="11">
        <v>2000</v>
      </c>
      <c r="M15" s="11">
        <f t="shared" si="2"/>
        <v>10050</v>
      </c>
      <c r="N15" s="10"/>
    </row>
    <row r="16" spans="1:14" ht="30">
      <c r="A16" s="9">
        <v>10</v>
      </c>
      <c r="B16" s="9" t="s">
        <v>30</v>
      </c>
      <c r="C16" s="9" t="s">
        <v>22</v>
      </c>
      <c r="D16" s="9">
        <v>700</v>
      </c>
      <c r="E16" s="9">
        <v>17</v>
      </c>
      <c r="F16" s="9">
        <v>5</v>
      </c>
      <c r="G16" s="10">
        <v>140</v>
      </c>
      <c r="H16" s="9">
        <f t="shared" si="0"/>
        <v>700</v>
      </c>
      <c r="I16" s="9">
        <v>0</v>
      </c>
      <c r="J16" s="9">
        <v>2</v>
      </c>
      <c r="K16" s="11">
        <f t="shared" si="1"/>
        <v>14000</v>
      </c>
      <c r="L16" s="11">
        <v>2000</v>
      </c>
      <c r="M16" s="11">
        <f t="shared" si="2"/>
        <v>12000</v>
      </c>
      <c r="N16" s="10"/>
    </row>
    <row r="17" spans="1:14">
      <c r="A17" s="9">
        <v>11</v>
      </c>
      <c r="B17" s="9" t="s">
        <v>31</v>
      </c>
      <c r="C17" s="9" t="s">
        <v>19</v>
      </c>
      <c r="D17" s="9">
        <v>800</v>
      </c>
      <c r="E17" s="9">
        <v>20</v>
      </c>
      <c r="F17" s="9">
        <v>3</v>
      </c>
      <c r="G17" s="10">
        <v>150</v>
      </c>
      <c r="H17" s="9">
        <f t="shared" si="0"/>
        <v>450</v>
      </c>
      <c r="I17" s="9">
        <v>5</v>
      </c>
      <c r="J17" s="9">
        <v>1</v>
      </c>
      <c r="K17" s="11">
        <f t="shared" si="1"/>
        <v>17250</v>
      </c>
      <c r="L17" s="11">
        <v>3000</v>
      </c>
      <c r="M17" s="11">
        <f t="shared" si="2"/>
        <v>14250</v>
      </c>
      <c r="N17" s="10"/>
    </row>
    <row r="18" spans="1:14">
      <c r="A18" s="9">
        <v>12</v>
      </c>
      <c r="B18" s="9" t="s">
        <v>32</v>
      </c>
      <c r="C18" s="9" t="s">
        <v>24</v>
      </c>
      <c r="D18" s="9">
        <v>600</v>
      </c>
      <c r="E18" s="9">
        <v>11</v>
      </c>
      <c r="F18" s="9">
        <v>3</v>
      </c>
      <c r="G18" s="10">
        <v>130</v>
      </c>
      <c r="H18" s="9">
        <f t="shared" si="0"/>
        <v>390</v>
      </c>
      <c r="I18" s="9">
        <v>3</v>
      </c>
      <c r="J18" s="9">
        <v>1</v>
      </c>
      <c r="K18" s="11">
        <f t="shared" si="1"/>
        <v>7590</v>
      </c>
      <c r="L18" s="11">
        <v>1000</v>
      </c>
      <c r="M18" s="11">
        <f t="shared" si="2"/>
        <v>6590</v>
      </c>
      <c r="N18" s="10"/>
    </row>
  </sheetData>
  <mergeCells count="3">
    <mergeCell ref="A2:N2"/>
    <mergeCell ref="A3:N3"/>
    <mergeCell ref="A4:N4"/>
  </mergeCells>
  <pageMargins left="0.70866141732283472" right="0.70866141732283472" top="0.74803149606299213" bottom="0.74803149606299213" header="0.31496062992125984" footer="0.31496062992125984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Nainital</cp:lastModifiedBy>
  <cp:lastPrinted>2025-10-10T06:00:22Z</cp:lastPrinted>
  <dcterms:created xsi:type="dcterms:W3CDTF">2025-09-14T01:17:47Z</dcterms:created>
  <dcterms:modified xsi:type="dcterms:W3CDTF">2025-10-10T06:01:54Z</dcterms:modified>
</cp:coreProperties>
</file>